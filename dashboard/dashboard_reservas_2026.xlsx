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2b2e3b933f8d0f/Ambiente de Trabalho/Trabalho_1_DE_ISI/dashboard/"/>
    </mc:Choice>
  </mc:AlternateContent>
  <xr:revisionPtr revIDLastSave="3" documentId="13_ncr:1_{5F708A23-A302-4A2B-A0DC-F2A6E87E927E}" xr6:coauthVersionLast="47" xr6:coauthVersionMax="47" xr10:uidLastSave="{15F46DF8-9360-43D5-9EC1-8F81A67CD404}"/>
  <bookViews>
    <workbookView xWindow="-98" yWindow="-98" windowWidth="21795" windowHeight="12975" xr2:uid="{00000000-000D-0000-FFFF-FFFF00000000}"/>
  </bookViews>
  <sheets>
    <sheet name="Dashboard" sheetId="1" r:id="rId1"/>
    <sheet name="Por_Marca" sheetId="2" r:id="rId2"/>
    <sheet name="Por_Apartamento" sheetId="3" r:id="rId3"/>
    <sheet name="Dados_Mensais" sheetId="4" r:id="rId4"/>
    <sheet name="Dados_Ocupacao" sheetId="5" r:id="rId5"/>
    <sheet name="Dados_Reservas" sheetId="6" r:id="rId6"/>
  </sheets>
  <definedNames>
    <definedName name="DadosExternos_2" localSheetId="3" hidden="1">Dados_Mensais!$A$1:$G$11</definedName>
    <definedName name="DadosExternos_3" localSheetId="4" hidden="1">Dados_Ocupacao!$A$1:$E$128</definedName>
    <definedName name="DadosExternos_4" localSheetId="5" hidden="1">Dados_Reservas!$A$1:$F$267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esumo_mensal_c5e81970-77ad-4810-81ea-4eebccb57bfc" name="resumo_mensal" connection="Consulta - resumo_mensal"/>
          <x15:modelTable id="ocupacao_mensal_cd0f3581-e5d5-40af-8e08-2691b14bdad8" name="ocupacao_mensal" connection="Consulta - ocupacao_mensal"/>
          <x15:modelTable id="reservas_mensais_2c275b34-af50-4b23-a7a7-10e19d0b7250" name="reservas_mensais" connection="Consulta - reservas_mensai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9" i="3"/>
  <c r="H10" i="3"/>
  <c r="H11" i="3"/>
  <c r="H12" i="3"/>
  <c r="H13" i="3"/>
  <c r="H14" i="3"/>
  <c r="H15" i="3"/>
  <c r="H16" i="3"/>
  <c r="H17" i="3"/>
  <c r="H18" i="3"/>
  <c r="H19" i="3"/>
  <c r="H7" i="3"/>
  <c r="E8" i="3"/>
  <c r="E9" i="3"/>
  <c r="E10" i="3"/>
  <c r="E11" i="3"/>
  <c r="E12" i="3"/>
  <c r="E13" i="3"/>
  <c r="E14" i="3"/>
  <c r="E15" i="3"/>
  <c r="E16" i="3"/>
  <c r="E17" i="3"/>
  <c r="E18" i="3"/>
  <c r="E19" i="3"/>
  <c r="E7" i="3"/>
  <c r="G8" i="3"/>
  <c r="G9" i="3"/>
  <c r="G10" i="3"/>
  <c r="G11" i="3"/>
  <c r="G12" i="3"/>
  <c r="G13" i="3"/>
  <c r="G14" i="3"/>
  <c r="G15" i="3"/>
  <c r="G16" i="3"/>
  <c r="G17" i="3"/>
  <c r="G18" i="3"/>
  <c r="G19" i="3"/>
  <c r="G7" i="3"/>
  <c r="D8" i="3"/>
  <c r="D9" i="3"/>
  <c r="D10" i="3"/>
  <c r="D11" i="3"/>
  <c r="D12" i="3"/>
  <c r="D13" i="3"/>
  <c r="D14" i="3"/>
  <c r="D15" i="3"/>
  <c r="D16" i="3"/>
  <c r="D17" i="3"/>
  <c r="D18" i="3"/>
  <c r="D19" i="3"/>
  <c r="D7" i="3"/>
  <c r="C8" i="2"/>
  <c r="C33" i="1"/>
  <c r="B33" i="1"/>
  <c r="C32" i="1"/>
  <c r="B32" i="1"/>
  <c r="G6" i="2" l="1"/>
  <c r="F32" i="1" s="1"/>
  <c r="D20" i="3"/>
  <c r="E6" i="2"/>
  <c r="F5" i="1"/>
  <c r="H20" i="3"/>
  <c r="F8" i="3"/>
  <c r="F15" i="3"/>
  <c r="F17" i="3"/>
  <c r="F12" i="3"/>
  <c r="F14" i="3"/>
  <c r="F16" i="3"/>
  <c r="F19" i="3"/>
  <c r="G20" i="3"/>
  <c r="B5" i="1" s="1"/>
  <c r="F18" i="3"/>
  <c r="F10" i="3"/>
  <c r="F13" i="3"/>
  <c r="F9" i="3"/>
  <c r="F11" i="3"/>
  <c r="D6" i="2"/>
  <c r="G7" i="2"/>
  <c r="E7" i="2"/>
  <c r="E20" i="3"/>
  <c r="J5" i="1" s="1"/>
  <c r="F7" i="3"/>
  <c r="D7" i="2"/>
  <c r="E8" i="2" l="1"/>
  <c r="F20" i="3"/>
  <c r="F6" i="2"/>
  <c r="E32" i="1" s="1"/>
  <c r="D8" i="2"/>
  <c r="F8" i="2" s="1"/>
  <c r="D32" i="1"/>
  <c r="F7" i="2"/>
  <c r="E33" i="1" s="1"/>
  <c r="D33" i="1"/>
  <c r="F33" i="1"/>
  <c r="G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77ED14-D02C-424A-8D4F-4A5A0916B53E}" name="Consulta - ocupacao_mensal" description="Ligação à consulta 'ocupacao_mensal' no livro." type="100" refreshedVersion="8" minRefreshableVersion="5">
    <extLst>
      <ext xmlns:x15="http://schemas.microsoft.com/office/spreadsheetml/2010/11/main" uri="{DE250136-89BD-433C-8126-D09CA5730AF9}">
        <x15:connection id="99d9c191-891b-400f-9cf9-c57ef7f4634d"/>
      </ext>
    </extLst>
  </connection>
  <connection id="2" xr16:uid="{DC23E365-6248-4AB5-AE82-BA4400D0E8E4}" name="Consulta - reservas_mensais" description="Ligação à consulta 'reservas_mensais' no livro." type="100" refreshedVersion="8" minRefreshableVersion="5">
    <extLst>
      <ext xmlns:x15="http://schemas.microsoft.com/office/spreadsheetml/2010/11/main" uri="{DE250136-89BD-433C-8126-D09CA5730AF9}">
        <x15:connection id="811b59d0-256a-47a5-9a2c-59f1d7748fdd"/>
      </ext>
    </extLst>
  </connection>
  <connection id="3" xr16:uid="{A2CA73F6-4259-49F1-A98A-267A66D8A87D}" name="Consulta - resumo_mensal" description="Ligação à consulta 'resumo_mensal' no livro." type="100" refreshedVersion="8" minRefreshableVersion="5">
    <extLst>
      <ext xmlns:x15="http://schemas.microsoft.com/office/spreadsheetml/2010/11/main" uri="{DE250136-89BD-433C-8126-D09CA5730AF9}">
        <x15:connection id="f60a311f-1511-4951-a965-ce92769a08c7"/>
      </ext>
    </extLst>
  </connection>
  <connection id="4" xr16:uid="{F314AB46-39A9-430D-AA50-7D50A28E9F4A}" keepAlive="1" name="ModelConnection_DadosExternos_2" description="Modelo de Dados" type="5" refreshedVersion="8" minRefreshableVersion="5" saveData="1">
    <dbPr connection="Data Model Connection" command="resumo_mensal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FBBDED1-FD79-45D0-9AEE-101A9F8B2DD4}" keepAlive="1" name="ModelConnection_DadosExternos_3" description="Modelo de Dados" type="5" refreshedVersion="8" minRefreshableVersion="5" saveData="1">
    <dbPr connection="Data Model Connection" command="ocupacao_mensal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F8C4951-11C9-41CE-A1DF-0E7B77B10935}" keepAlive="1" name="ModelConnection_DadosExternos_4" description="Modelo de Dados" type="5" refreshedVersion="8" minRefreshableVersion="5" saveData="1">
    <dbPr connection="Data Model Connection" command="reservas_mensai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3F3769FD-E5E1-48E5-851C-CC3555DBA47A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<sst xmlns="http://schemas.openxmlformats.org/spreadsheetml/2006/main" count="753" uniqueCount="58">
  <si>
    <t>DASHBOARD DE RESERVAS | 2026</t>
  </si>
  <si>
    <t>Villa Theatro + Avenida Residence  •  Janeiro a outubro  •  Outubro provisório</t>
  </si>
  <si>
    <t>VALOR DAS RESERVAS</t>
  </si>
  <si>
    <t>NOITES OCUPADAS</t>
  </si>
  <si>
    <t>TAXA DE OCUPAÇÃO</t>
  </si>
  <si>
    <t>COMPARAÇÃO ENTRE MARCAS</t>
  </si>
  <si>
    <t>Marca</t>
  </si>
  <si>
    <t>Unidades</t>
  </si>
  <si>
    <t>Noites ocupadas</t>
  </si>
  <si>
    <t>Ocupação (%)</t>
  </si>
  <si>
    <t>Valor reservas (€)</t>
  </si>
  <si>
    <t>DETALHE POR APARTAMENTO  →  consulta a folha Por_Apartamento</t>
  </si>
  <si>
    <t>Fonte: 3 CSV exportados pelo Pentaho  |  Outubro é provisório  |  Valores por unidade agregados sem dados de hóspedes</t>
  </si>
  <si>
    <t>DESEMPENHO POR MARCA</t>
  </si>
  <si>
    <t>Comparação entre Villa Theatro e Avenida Residence | janeiro–outubro 2026</t>
  </si>
  <si>
    <t>Dias disponíveis</t>
  </si>
  <si>
    <t>Villa Theatro</t>
  </si>
  <si>
    <t>Avenida Residence</t>
  </si>
  <si>
    <t>TOTAL</t>
  </si>
  <si>
    <t>ANÁLISE POR APARTAMENTO</t>
  </si>
  <si>
    <t>13 unidades | noites, ocupação e valores das reservas</t>
  </si>
  <si>
    <t>Código</t>
  </si>
  <si>
    <t>Período</t>
  </si>
  <si>
    <t>Noites reservadas</t>
  </si>
  <si>
    <t>AR_201</t>
  </si>
  <si>
    <t>Jan–Out</t>
  </si>
  <si>
    <t>AR_202</t>
  </si>
  <si>
    <t>AR_203</t>
  </si>
  <si>
    <t>AR_204</t>
  </si>
  <si>
    <t>VT_A</t>
  </si>
  <si>
    <t>VT_B</t>
  </si>
  <si>
    <t>VT_C</t>
  </si>
  <si>
    <t>VT_D</t>
  </si>
  <si>
    <t>VT_E</t>
  </si>
  <si>
    <t>VT_F</t>
  </si>
  <si>
    <t>VT_G</t>
  </si>
  <si>
    <t>VT_H</t>
  </si>
  <si>
    <t>VT_I</t>
  </si>
  <si>
    <t>Ambas as marcas</t>
  </si>
  <si>
    <t>mes_referencia</t>
  </si>
  <si>
    <t>total_noites_reservadas</t>
  </si>
  <si>
    <t>valor_total_reservas</t>
  </si>
  <si>
    <t>numero_reservas</t>
  </si>
  <si>
    <t>total_noites_ocupadas</t>
  </si>
  <si>
    <t>total_dias_disponiveis</t>
  </si>
  <si>
    <t>taxa_ocupacao_global</t>
  </si>
  <si>
    <t>codigo_unidade</t>
  </si>
  <si>
    <t>noites_ocupadas</t>
  </si>
  <si>
    <t>dias_mes</t>
  </si>
  <si>
    <t>taxa_ocupacao</t>
  </si>
  <si>
    <t>codigo_canal</t>
  </si>
  <si>
    <t>total_noites</t>
  </si>
  <si>
    <t>total_valor_reservas</t>
  </si>
  <si>
    <t>total_registos_mensais</t>
  </si>
  <si>
    <t>AIRBNB</t>
  </si>
  <si>
    <t>BOOKIN</t>
  </si>
  <si>
    <t>INTERN</t>
  </si>
  <si>
    <t>WEBSIT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</si>
</sst>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0.00&quot;%&quot;"/>
    <numFmt numFmtId="166" formatCode="yyyy\-mm\-dd;@"/>
  </numFmts>
  <fonts count="7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sz val="10"/>
      <color rgb="FFD6E8EE"/>
      <name val="Carlito"/>
    </font>
    <font>
      <b/>
      <sz val="11"/>
      <name val="Carlito"/>
    </font>
    <font>
      <b/>
      <sz val="20"/>
      <name val="Carlito"/>
    </font>
    <font>
      <sz val="10"/>
      <color rgb="FF52647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0263F"/>
      </patternFill>
    </fill>
    <fill>
      <patternFill patternType="solid">
        <fgColor rgb="FFEAF4F5"/>
      </patternFill>
    </fill>
    <fill>
      <patternFill patternType="solid">
        <fgColor rgb="FF0B8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4" fillId="3" borderId="0" xfId="0" applyNumberFormat="1" applyFont="1" applyFill="1"/>
    <xf numFmtId="164" fontId="4" fillId="3" borderId="0" xfId="0" applyNumberFormat="1" applyFont="1" applyFill="1"/>
    <xf numFmtId="166" fontId="0" fillId="0" borderId="0" xfId="0" applyNumberFormat="1"/>
    <xf numFmtId="0" fontId="1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6" fillId="0" borderId="0" xfId="0" applyFont="1"/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4" borderId="0" xfId="0" applyFont="1" applyFill="1"/>
    <xf numFmtId="164" fontId="5" fillId="3" borderId="0" xfId="0" applyNumberFormat="1" applyFont="1" applyFill="1"/>
    <xf numFmtId="3" fontId="5" fillId="3" borderId="0" xfId="0" applyNumberFormat="1" applyFont="1" applyFill="1"/>
    <xf numFmtId="165" fontId="5" fillId="3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12">
    <dxf>
      <numFmt numFmtId="164" formatCode="#,##0.00\ &quot;€&quot;"/>
    </dxf>
    <dxf>
      <numFmt numFmtId="0" formatCode="General"/>
    </dxf>
    <dxf>
      <numFmt numFmtId="0" formatCode="General"/>
    </dxf>
    <dxf>
      <numFmt numFmtId="166" formatCode="yyyy\-mm\-dd;@"/>
    </dxf>
    <dxf>
      <numFmt numFmtId="165" formatCode="0.00&quot;%&quot;"/>
    </dxf>
    <dxf>
      <numFmt numFmtId="166" formatCode="yyyy\-mm\-dd;@"/>
    </dxf>
    <dxf>
      <numFmt numFmtId="165" formatCode="0.00&quot;%&quot;"/>
    </dxf>
    <dxf>
      <numFmt numFmtId="164" formatCode="#,##0.00\ &quot;€&quot;"/>
    </dxf>
    <dxf>
      <numFmt numFmtId="166" formatCode="yyyy\-mm\-dd;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0263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0263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 mensal das reservas (€)</c:v>
          </c:tx>
          <c:invertIfNegative val="1"/>
          <c:val>
            <c:numRef>
              <c:f>Dados_Mensais!#REF!</c:f>
              <c:numCache>
                <c:formatCode>#\ ##0.00\ "€"</c:formatCode>
                <c:ptCount val="10"/>
                <c:pt idx="0">
                  <c:v>18033.73</c:v>
                </c:pt>
                <c:pt idx="1">
                  <c:v>10328.469999999999</c:v>
                </c:pt>
                <c:pt idx="2">
                  <c:v>17346.32</c:v>
                </c:pt>
                <c:pt idx="3">
                  <c:v>27158.05</c:v>
                </c:pt>
                <c:pt idx="4">
                  <c:v>33361.279999999999</c:v>
                </c:pt>
                <c:pt idx="5">
                  <c:v>33225.379999999997</c:v>
                </c:pt>
                <c:pt idx="6">
                  <c:v>38338.379999999997</c:v>
                </c:pt>
                <c:pt idx="7">
                  <c:v>46832.3</c:v>
                </c:pt>
                <c:pt idx="8">
                  <c:v>32146.47</c:v>
                </c:pt>
                <c:pt idx="9">
                  <c:v>28156.59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Dados_Mensais!#REF!</c15:sqref>
                        </c15:formulaRef>
                      </c:ext>
                    </c:extLst>
                    <c:strCache>
                      <c:ptCount val="10"/>
                      <c:pt idx="0">
                        <c:v>2026-01-01</c:v>
                      </c:pt>
                      <c:pt idx="1">
                        <c:v>2026-02-01</c:v>
                      </c:pt>
                      <c:pt idx="2">
                        <c:v>2026-03-01</c:v>
                      </c:pt>
                      <c:pt idx="3">
                        <c:v>2026-04-01</c:v>
                      </c:pt>
                      <c:pt idx="4">
                        <c:v>2026-05-01</c:v>
                      </c:pt>
                      <c:pt idx="5">
                        <c:v>2026-06-01</c:v>
                      </c:pt>
                      <c:pt idx="6">
                        <c:v>2026-07-01</c:v>
                      </c:pt>
                      <c:pt idx="7">
                        <c:v>2026-08-01</c:v>
                      </c:pt>
                      <c:pt idx="8">
                        <c:v>2026-09-01</c:v>
                      </c:pt>
                      <c:pt idx="9">
                        <c:v>2026-10-01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788-445E-96C1-3D078BE93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€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Taxa de ocupação mensal (%)</c:v>
          </c:tx>
          <c:marker>
            <c:symbol val="none"/>
          </c:marker>
          <c:val>
            <c:numRef>
              <c:f>Dados_Mensais!#REF!</c:f>
              <c:numCache>
                <c:formatCode>0.00"%"</c:formatCode>
                <c:ptCount val="10"/>
                <c:pt idx="0">
                  <c:v>30.77</c:v>
                </c:pt>
                <c:pt idx="1">
                  <c:v>15.38</c:v>
                </c:pt>
                <c:pt idx="2">
                  <c:v>29.03</c:v>
                </c:pt>
                <c:pt idx="3">
                  <c:v>38.46</c:v>
                </c:pt>
                <c:pt idx="4">
                  <c:v>53.35</c:v>
                </c:pt>
                <c:pt idx="5">
                  <c:v>47.44</c:v>
                </c:pt>
                <c:pt idx="6">
                  <c:v>47.15</c:v>
                </c:pt>
                <c:pt idx="7">
                  <c:v>52.85</c:v>
                </c:pt>
                <c:pt idx="8">
                  <c:v>47.69</c:v>
                </c:pt>
                <c:pt idx="9">
                  <c:v>41.94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Dados_Mensais!#REF!</c15:sqref>
                        </c15:formulaRef>
                      </c:ext>
                    </c:extLst>
                    <c:strCache>
                      <c:ptCount val="10"/>
                      <c:pt idx="0">
                        <c:v>2026-01-01</c:v>
                      </c:pt>
                      <c:pt idx="1">
                        <c:v>2026-02-01</c:v>
                      </c:pt>
                      <c:pt idx="2">
                        <c:v>2026-03-01</c:v>
                      </c:pt>
                      <c:pt idx="3">
                        <c:v>2026-04-01</c:v>
                      </c:pt>
                      <c:pt idx="4">
                        <c:v>2026-05-01</c:v>
                      </c:pt>
                      <c:pt idx="5">
                        <c:v>2026-06-01</c:v>
                      </c:pt>
                      <c:pt idx="6">
                        <c:v>2026-07-01</c:v>
                      </c:pt>
                      <c:pt idx="7">
                        <c:v>2026-08-01</c:v>
                      </c:pt>
                      <c:pt idx="8">
                        <c:v>2026-09-01</c:v>
                      </c:pt>
                      <c:pt idx="9">
                        <c:v>2026-10-01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CD-4844-88DE-2AC2F6794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&quot;%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Noites ocupadas por marca</c:v>
          </c:tx>
          <c:invertIfNegative val="1"/>
          <c:cat>
            <c:strRef>
              <c:f>Por_Marca!$B$6:$B$7</c:f>
              <c:strCache>
                <c:ptCount val="2"/>
                <c:pt idx="0">
                  <c:v>Villa Theatro</c:v>
                </c:pt>
                <c:pt idx="1">
                  <c:v>Avenida Residence</c:v>
                </c:pt>
              </c:strCache>
            </c:strRef>
          </c:cat>
          <c:val>
            <c:numRef>
              <c:f>Por_Marca!$D$6:$D$7</c:f>
              <c:numCache>
                <c:formatCode>General</c:formatCode>
                <c:ptCount val="2"/>
                <c:pt idx="0">
                  <c:v>1113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F-416C-B16D-F229D85C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 das reservas por marca (€)</c:v>
          </c:tx>
          <c:invertIfNegative val="1"/>
          <c:cat>
            <c:strRef>
              <c:f>Por_Marca!$B$6:$B$7</c:f>
              <c:strCache>
                <c:ptCount val="2"/>
                <c:pt idx="0">
                  <c:v>Villa Theatro</c:v>
                </c:pt>
                <c:pt idx="1">
                  <c:v>Avenida Residence</c:v>
                </c:pt>
              </c:strCache>
            </c:strRef>
          </c:cat>
          <c:val>
            <c:numRef>
              <c:f>Por_Marca!$G$6:$G$7</c:f>
              <c:numCache>
                <c:formatCode>#\ ##0.00\ "€"</c:formatCode>
                <c:ptCount val="2"/>
                <c:pt idx="0">
                  <c:v>193840.04</c:v>
                </c:pt>
                <c:pt idx="1">
                  <c:v>92776.03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8-43FF-B0CC-1179C3850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0\ &quot;€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Noites ocupadas por apartamento</c:v>
          </c:tx>
          <c:invertIfNegative val="1"/>
          <c:cat>
            <c:strRef>
              <c:f>Por_Apartamento!$A$7:$A$19</c:f>
              <c:strCache>
                <c:ptCount val="13"/>
                <c:pt idx="0">
                  <c:v>AR_201</c:v>
                </c:pt>
                <c:pt idx="1">
                  <c:v>AR_202</c:v>
                </c:pt>
                <c:pt idx="2">
                  <c:v>AR_203</c:v>
                </c:pt>
                <c:pt idx="3">
                  <c:v>AR_204</c:v>
                </c:pt>
                <c:pt idx="4">
                  <c:v>VT_A</c:v>
                </c:pt>
                <c:pt idx="5">
                  <c:v>VT_B</c:v>
                </c:pt>
                <c:pt idx="6">
                  <c:v>VT_C</c:v>
                </c:pt>
                <c:pt idx="7">
                  <c:v>VT_D</c:v>
                </c:pt>
                <c:pt idx="8">
                  <c:v>VT_E</c:v>
                </c:pt>
                <c:pt idx="9">
                  <c:v>VT_F</c:v>
                </c:pt>
                <c:pt idx="10">
                  <c:v>VT_G</c:v>
                </c:pt>
                <c:pt idx="11">
                  <c:v>VT_H</c:v>
                </c:pt>
                <c:pt idx="12">
                  <c:v>VT_I</c:v>
                </c:pt>
              </c:strCache>
            </c:strRef>
          </c:cat>
          <c:val>
            <c:numRef>
              <c:f>Por_Apartamento!$D$7:$D$19</c:f>
              <c:numCache>
                <c:formatCode>General</c:formatCode>
                <c:ptCount val="13"/>
                <c:pt idx="0">
                  <c:v>115</c:v>
                </c:pt>
                <c:pt idx="1">
                  <c:v>140</c:v>
                </c:pt>
                <c:pt idx="2">
                  <c:v>138</c:v>
                </c:pt>
                <c:pt idx="3">
                  <c:v>107</c:v>
                </c:pt>
                <c:pt idx="4">
                  <c:v>121</c:v>
                </c:pt>
                <c:pt idx="5">
                  <c:v>110</c:v>
                </c:pt>
                <c:pt idx="6">
                  <c:v>134</c:v>
                </c:pt>
                <c:pt idx="7">
                  <c:v>134</c:v>
                </c:pt>
                <c:pt idx="8">
                  <c:v>158</c:v>
                </c:pt>
                <c:pt idx="9">
                  <c:v>101</c:v>
                </c:pt>
                <c:pt idx="10">
                  <c:v>138</c:v>
                </c:pt>
                <c:pt idx="11">
                  <c:v>129</c:v>
                </c:pt>
                <c:pt idx="1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F-4EA4-9753-08DCA1D2C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 de reservas por apartamento (€)</c:v>
          </c:tx>
          <c:invertIfNegative val="1"/>
          <c:cat>
            <c:strRef>
              <c:f>Por_Apartamento!$A$7:$A$19</c:f>
              <c:strCache>
                <c:ptCount val="13"/>
                <c:pt idx="0">
                  <c:v>AR_201</c:v>
                </c:pt>
                <c:pt idx="1">
                  <c:v>AR_202</c:v>
                </c:pt>
                <c:pt idx="2">
                  <c:v>AR_203</c:v>
                </c:pt>
                <c:pt idx="3">
                  <c:v>AR_204</c:v>
                </c:pt>
                <c:pt idx="4">
                  <c:v>VT_A</c:v>
                </c:pt>
                <c:pt idx="5">
                  <c:v>VT_B</c:v>
                </c:pt>
                <c:pt idx="6">
                  <c:v>VT_C</c:v>
                </c:pt>
                <c:pt idx="7">
                  <c:v>VT_D</c:v>
                </c:pt>
                <c:pt idx="8">
                  <c:v>VT_E</c:v>
                </c:pt>
                <c:pt idx="9">
                  <c:v>VT_F</c:v>
                </c:pt>
                <c:pt idx="10">
                  <c:v>VT_G</c:v>
                </c:pt>
                <c:pt idx="11">
                  <c:v>VT_H</c:v>
                </c:pt>
                <c:pt idx="12">
                  <c:v>VT_I</c:v>
                </c:pt>
              </c:strCache>
            </c:strRef>
          </c:cat>
          <c:val>
            <c:numRef>
              <c:f>Por_Apartamento!$G$7:$G$19</c:f>
              <c:numCache>
                <c:formatCode>General</c:formatCode>
                <c:ptCount val="13"/>
                <c:pt idx="0">
                  <c:v>28679.190000000002</c:v>
                </c:pt>
                <c:pt idx="1">
                  <c:v>19015.96</c:v>
                </c:pt>
                <c:pt idx="2">
                  <c:v>18983.640000000003</c:v>
                </c:pt>
                <c:pt idx="3">
                  <c:v>26097.239999999994</c:v>
                </c:pt>
                <c:pt idx="4">
                  <c:v>35658.44</c:v>
                </c:pt>
                <c:pt idx="5">
                  <c:v>19344.689999999999</c:v>
                </c:pt>
                <c:pt idx="6">
                  <c:v>21258.92</c:v>
                </c:pt>
                <c:pt idx="7">
                  <c:v>21498.139999999996</c:v>
                </c:pt>
                <c:pt idx="8">
                  <c:v>20322.7</c:v>
                </c:pt>
                <c:pt idx="9">
                  <c:v>16431.21</c:v>
                </c:pt>
                <c:pt idx="10">
                  <c:v>17998.13</c:v>
                </c:pt>
                <c:pt idx="11">
                  <c:v>21265.82</c:v>
                </c:pt>
                <c:pt idx="12">
                  <c:v>20061.989999999998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C-4C4E-AA66-29061B004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4" xr16:uid="{7D270962-5EA9-4F57-8FCF-4D649D2C5A0B}" autoFormatId="16" applyNumberFormats="0" applyBorderFormats="0" applyFontFormats="0" applyPatternFormats="0" applyAlignmentFormats="0" applyWidthHeightFormats="0">
  <queryTableRefresh nextId="8">
    <queryTableFields count="7">
      <queryTableField id="1" name="mes_referencia" tableColumnId="1"/>
      <queryTableField id="2" name="total_noites_reservadas" tableColumnId="2"/>
      <queryTableField id="3" name="valor_total_reservas" tableColumnId="3"/>
      <queryTableField id="4" name="numero_reservas" tableColumnId="4"/>
      <queryTableField id="5" name="total_noites_ocupadas" tableColumnId="5"/>
      <queryTableField id="6" name="total_dias_disponiveis" tableColumnId="6"/>
      <queryTableField id="7" name="taxa_ocupacao_global" tableColumnId="7"/>
    </queryTableFields>
  </queryTableRefresh>
  <extLst>
    <ext xmlns:x15="http://schemas.microsoft.com/office/spreadsheetml/2010/11/main" uri="{883FBD77-0823-4a55-B5E3-86C4891E6966}">
      <x15:queryTable sourceDataName="Consulta - resumo_mensal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5" xr16:uid="{1FBD6DF3-855A-4D30-A0BF-F83AAD1204DF}" autoFormatId="16" applyNumberFormats="0" applyBorderFormats="0" applyFontFormats="0" applyPatternFormats="0" applyAlignmentFormats="0" applyWidthHeightFormats="0">
  <queryTableRefresh nextId="6">
    <queryTableFields count="5">
      <queryTableField id="1" name="mes_referencia" tableColumnId="1"/>
      <queryTableField id="2" name="codigo_unidade" tableColumnId="2"/>
      <queryTableField id="3" name="noites_ocupadas" tableColumnId="3"/>
      <queryTableField id="4" name="dias_mes" tableColumnId="4"/>
      <queryTableField id="5" name="taxa_ocupacao" tableColumnId="5"/>
    </queryTableFields>
  </queryTableRefresh>
  <extLst>
    <ext xmlns:x15="http://schemas.microsoft.com/office/spreadsheetml/2010/11/main" uri="{883FBD77-0823-4a55-B5E3-86C4891E6966}">
      <x15:queryTable sourceDataName="Consulta - ocupacao_mensal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6" xr16:uid="{37378C44-28E8-458B-90E1-652BDDB393BB}" autoFormatId="16" applyNumberFormats="0" applyBorderFormats="0" applyFontFormats="0" applyPatternFormats="0" applyAlignmentFormats="0" applyWidthHeightFormats="0">
  <queryTableRefresh nextId="7">
    <queryTableFields count="6">
      <queryTableField id="1" name="mes_referencia" tableColumnId="1"/>
      <queryTableField id="2" name="codigo_unidade" tableColumnId="2"/>
      <queryTableField id="3" name="codigo_canal" tableColumnId="3"/>
      <queryTableField id="4" name="total_noites" tableColumnId="4"/>
      <queryTableField id="5" name="total_valor_reservas" tableColumnId="5"/>
      <queryTableField id="6" name="total_registos_mensais" tableColumnId="6"/>
    </queryTableFields>
  </queryTableRefresh>
  <extLst>
    <ext xmlns:x15="http://schemas.microsoft.com/office/spreadsheetml/2010/11/main" uri="{883FBD77-0823-4a55-B5E3-86C4891E6966}">
      <x15:queryTable sourceDataName="Consulta - reservas_mensai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87E33D-4419-4CF8-ACBB-98E181B78EA1}" name="resumo_mensal" displayName="resumo_mensal" ref="A1:G11" tableType="queryTable" totalsRowShown="0" headerRowDxfId="11">
  <autoFilter ref="A1:G11" xr:uid="{5187E33D-4419-4CF8-ACBB-98E181B78EA1}"/>
  <tableColumns count="7">
    <tableColumn id="1" xr3:uid="{561D6A14-B124-43B1-94B3-59CE98D1E366}" uniqueName="1" name="mes_referencia" queryTableFieldId="1" dataDxfId="8"/>
    <tableColumn id="2" xr3:uid="{2EDEAFC0-D445-4F46-A5DD-6CB604A53A80}" uniqueName="2" name="total_noites_reservadas" queryTableFieldId="2"/>
    <tableColumn id="3" xr3:uid="{F0850280-E28E-4E8B-A715-F4958C99D2AA}" uniqueName="3" name="valor_total_reservas" queryTableFieldId="3" dataDxfId="7"/>
    <tableColumn id="4" xr3:uid="{33AD1BE5-257F-4280-9EC6-1FF7B7E48B81}" uniqueName="4" name="numero_reservas" queryTableFieldId="4"/>
    <tableColumn id="5" xr3:uid="{2F46290D-31EE-49E5-A530-A6225D550BE4}" uniqueName="5" name="total_noites_ocupadas" queryTableFieldId="5"/>
    <tableColumn id="6" xr3:uid="{BA7EC76F-069E-4220-A6EE-C55FC164A653}" uniqueName="6" name="total_dias_disponiveis" queryTableFieldId="6"/>
    <tableColumn id="7" xr3:uid="{C99698E3-5FB1-445B-8FBD-4DB633075A62}" uniqueName="7" name="taxa_ocupacao_global" queryTableFieldId="7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E295A4-3132-4947-83D2-D4231719C9B6}" name="ocupacao_mensal" displayName="ocupacao_mensal" ref="A1:E128" tableType="queryTable" totalsRowShown="0" headerRowDxfId="10">
  <autoFilter ref="A1:E128" xr:uid="{AFE295A4-3132-4947-83D2-D4231719C9B6}"/>
  <tableColumns count="5">
    <tableColumn id="1" xr3:uid="{09EE8651-C294-46A5-9ED2-34E48AD65A8D}" uniqueName="1" name="mes_referencia" queryTableFieldId="1" dataDxfId="5"/>
    <tableColumn id="2" xr3:uid="{6822631F-B454-4D4F-8F98-3CB243CC294D}" uniqueName="2" name="codigo_unidade" queryTableFieldId="2" dataDxfId="9"/>
    <tableColumn id="3" xr3:uid="{741D3ECF-9A3E-4D75-9624-2E1CCEBCCA6F}" uniqueName="3" name="noites_ocupadas" queryTableFieldId="3"/>
    <tableColumn id="4" xr3:uid="{5C5CBE20-C29C-4937-BCC6-A177126948D2}" uniqueName="4" name="dias_mes" queryTableFieldId="4"/>
    <tableColumn id="5" xr3:uid="{0B060F56-420C-4D32-B9F2-99E1096AB2B3}" uniqueName="5" name="taxa_ocupacao" queryTableFieldId="5" dataDxf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85BB56-8896-49B8-BDC9-91AD4B853145}" name="reservas_mensais" displayName="reservas_mensais" ref="A1:F267" tableType="queryTable" totalsRowShown="0">
  <autoFilter ref="A1:F267" xr:uid="{6685BB56-8896-49B8-BDC9-91AD4B853145}"/>
  <tableColumns count="6">
    <tableColumn id="1" xr3:uid="{CAD35830-A781-46D8-9C9B-68EE6633A897}" uniqueName="1" name="mes_referencia" queryTableFieldId="1" dataDxfId="3"/>
    <tableColumn id="2" xr3:uid="{096257F6-F754-46C2-8318-1C96D38451D3}" uniqueName="2" name="codigo_unidade" queryTableFieldId="2" dataDxfId="2"/>
    <tableColumn id="3" xr3:uid="{5C91CFA6-758F-4D0F-B91B-4F19F2487F34}" uniqueName="3" name="codigo_canal" queryTableFieldId="3" dataDxfId="1"/>
    <tableColumn id="4" xr3:uid="{188F2E50-56B3-450C-8257-C3642A78DDCF}" uniqueName="4" name="total_noites" queryTableFieldId="4"/>
    <tableColumn id="5" xr3:uid="{E731B4D6-E14D-43F8-8984-EB4244598825}" uniqueName="5" name="total_valor_reservas" queryTableFieldId="5" dataDxfId="0"/>
    <tableColumn id="6" xr3:uid="{A8196522-81A7-4892-8498-A0033B2F125D}" uniqueName="6" name="total_registos_mensais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A6" workbookViewId="0">
      <selection activeCell="J5" sqref="J5:L7"/>
    </sheetView>
  </sheetViews>
  <sheetFormatPr defaultRowHeight="13.5"/>
  <cols>
    <col min="1" max="1" width="12" customWidth="1"/>
    <col min="2" max="2" width="18" customWidth="1"/>
    <col min="3" max="5" width="12" customWidth="1"/>
    <col min="6" max="6" width="18" customWidth="1"/>
    <col min="7" max="9" width="12" customWidth="1"/>
    <col min="10" max="10" width="18" customWidth="1"/>
    <col min="11" max="14" width="12" customWidth="1"/>
  </cols>
  <sheetData>
    <row r="1" spans="1:14" ht="16.05" customHeight="1">
      <c r="A1" s="1"/>
      <c r="B1" s="15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1.55" customHeight="1">
      <c r="A2" s="1"/>
      <c r="B2" s="16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13.9">
      <c r="B4" s="17" t="s">
        <v>2</v>
      </c>
      <c r="C4" s="17"/>
      <c r="D4" s="17"/>
      <c r="F4" s="17" t="s">
        <v>3</v>
      </c>
      <c r="G4" s="17"/>
      <c r="H4" s="17"/>
      <c r="J4" s="17" t="s">
        <v>4</v>
      </c>
      <c r="K4" s="17"/>
      <c r="L4" s="17"/>
    </row>
    <row r="5" spans="1:14">
      <c r="B5" s="18">
        <f>SUM(Por_Apartamento!G20)</f>
        <v>286616.07</v>
      </c>
      <c r="C5" s="18"/>
      <c r="D5" s="18"/>
      <c r="F5" s="19">
        <f>SUM(Por_Apartamento!D20)</f>
        <v>1613</v>
      </c>
      <c r="G5" s="19"/>
      <c r="H5" s="19"/>
      <c r="J5" s="20">
        <f>(Por_Apartamento!D20/Por_Apartamento!E20)*100</f>
        <v>41.701137538779733</v>
      </c>
      <c r="K5" s="20"/>
      <c r="L5" s="20"/>
    </row>
    <row r="6" spans="1:14">
      <c r="B6" s="18"/>
      <c r="C6" s="18"/>
      <c r="D6" s="18"/>
      <c r="F6" s="19"/>
      <c r="G6" s="19"/>
      <c r="H6" s="19"/>
      <c r="J6" s="20"/>
      <c r="K6" s="20"/>
      <c r="L6" s="20"/>
    </row>
    <row r="7" spans="1:14">
      <c r="B7" s="18"/>
      <c r="C7" s="18"/>
      <c r="D7" s="18"/>
      <c r="F7" s="19"/>
      <c r="G7" s="19"/>
      <c r="H7" s="19"/>
      <c r="J7" s="20"/>
      <c r="K7" s="20"/>
      <c r="L7" s="20"/>
    </row>
    <row r="29" spans="2:13" ht="13.9">
      <c r="B29" s="9" t="s"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1" spans="2:13" ht="13.5" customHeight="1">
      <c r="B31" s="2" t="s">
        <v>6</v>
      </c>
      <c r="C31" s="2" t="s">
        <v>7</v>
      </c>
      <c r="D31" s="2" t="s">
        <v>8</v>
      </c>
      <c r="E31" s="2" t="s">
        <v>9</v>
      </c>
      <c r="F31" s="2" t="s">
        <v>10</v>
      </c>
    </row>
    <row r="32" spans="2:13">
      <c r="B32" t="str">
        <f>Por_Marca!B6</f>
        <v>Villa Theatro</v>
      </c>
      <c r="C32">
        <f>Por_Marca!C6</f>
        <v>9</v>
      </c>
      <c r="D32">
        <f>Por_Marca!D6</f>
        <v>1113</v>
      </c>
      <c r="E32" s="4">
        <f>Por_Marca!F6</f>
        <v>41.529850746268657</v>
      </c>
      <c r="F32" s="3">
        <f>Por_Marca!G6</f>
        <v>193840.04</v>
      </c>
    </row>
    <row r="33" spans="2:13">
      <c r="B33" t="str">
        <f>Por_Marca!B7</f>
        <v>Avenida Residence</v>
      </c>
      <c r="C33">
        <f>Por_Marca!C7</f>
        <v>4</v>
      </c>
      <c r="D33">
        <f>Por_Marca!D7</f>
        <v>500</v>
      </c>
      <c r="E33" s="4">
        <f>Por_Marca!F7</f>
        <v>42.08754208754209</v>
      </c>
      <c r="F33" s="3">
        <f>Por_Marca!G7</f>
        <v>92776.03</v>
      </c>
    </row>
    <row r="36" spans="2:13" ht="13.9">
      <c r="B36" s="11" t="s">
        <v>11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8" spans="2:13">
      <c r="B38" s="13" t="s">
        <v>12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</sheetData>
  <mergeCells count="11">
    <mergeCell ref="B29:M29"/>
    <mergeCell ref="B36:M36"/>
    <mergeCell ref="B38:M38"/>
    <mergeCell ref="B1:N1"/>
    <mergeCell ref="B2:N2"/>
    <mergeCell ref="B4:D4"/>
    <mergeCell ref="B5:D7"/>
    <mergeCell ref="F4:H4"/>
    <mergeCell ref="F5:H7"/>
    <mergeCell ref="J4:L4"/>
    <mergeCell ref="J5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selection activeCell="D6" sqref="D6"/>
    </sheetView>
  </sheetViews>
  <sheetFormatPr defaultRowHeight="13.5"/>
  <cols>
    <col min="2" max="2" width="23" customWidth="1"/>
    <col min="3" max="7" width="19" customWidth="1"/>
    <col min="8" max="11" width="13" customWidth="1"/>
  </cols>
  <sheetData>
    <row r="1" spans="1:11" ht="16.05" customHeight="1">
      <c r="A1" s="1"/>
      <c r="B1" s="15" t="s">
        <v>13</v>
      </c>
      <c r="C1" s="10"/>
      <c r="D1" s="10"/>
      <c r="E1" s="10"/>
      <c r="F1" s="10"/>
      <c r="G1" s="10"/>
      <c r="H1" s="10"/>
      <c r="I1" s="10"/>
      <c r="J1" s="10"/>
      <c r="K1" s="10"/>
    </row>
    <row r="2" spans="1:11" ht="11.55" customHeight="1">
      <c r="A2" s="1"/>
      <c r="B2" s="16" t="s">
        <v>14</v>
      </c>
      <c r="C2" s="10"/>
      <c r="D2" s="10"/>
      <c r="E2" s="10"/>
      <c r="F2" s="10"/>
      <c r="G2" s="10"/>
      <c r="H2" s="10"/>
      <c r="I2" s="10"/>
      <c r="J2" s="10"/>
      <c r="K2" s="10"/>
    </row>
    <row r="5" spans="1:11" ht="13.5" customHeight="1">
      <c r="B5" s="2" t="s">
        <v>6</v>
      </c>
      <c r="C5" s="2" t="s">
        <v>7</v>
      </c>
      <c r="D5" s="2" t="s">
        <v>8</v>
      </c>
      <c r="E5" s="2" t="s">
        <v>15</v>
      </c>
      <c r="F5" s="2" t="s">
        <v>9</v>
      </c>
      <c r="G5" s="2" t="s">
        <v>10</v>
      </c>
    </row>
    <row r="6" spans="1:11">
      <c r="B6" t="s">
        <v>16</v>
      </c>
      <c r="C6">
        <v>9</v>
      </c>
      <c r="D6">
        <f>SUMIF(Por_Apartamento!$B$7:$B$19,B6,Por_Apartamento!$D$7:$D$19)</f>
        <v>1113</v>
      </c>
      <c r="E6">
        <f>SUMIF(Por_Apartamento!$B$7:$B$19,B6,Por_Apartamento!$E$7:$E$19)</f>
        <v>2680</v>
      </c>
      <c r="F6" s="4">
        <f>IFERROR(D6/E6*100,0)</f>
        <v>41.529850746268657</v>
      </c>
      <c r="G6" s="3">
        <f>SUMIF(Por_Apartamento!$B$7:$B$19,B6,Por_Apartamento!$G$7:$G$19)</f>
        <v>193840.04</v>
      </c>
    </row>
    <row r="7" spans="1:11">
      <c r="B7" t="s">
        <v>17</v>
      </c>
      <c r="C7">
        <v>4</v>
      </c>
      <c r="D7">
        <f>SUMIF(Por_Apartamento!$B$7:$B$19,B7,Por_Apartamento!$D$7:$D$19)</f>
        <v>500</v>
      </c>
      <c r="E7">
        <f>SUMIF(Por_Apartamento!$B$7:$B$19,B7,Por_Apartamento!$E$7:$E$19)</f>
        <v>1188</v>
      </c>
      <c r="F7" s="4">
        <f>IFERROR(D7/E7*100,0)</f>
        <v>42.08754208754209</v>
      </c>
      <c r="G7" s="3">
        <f>SUMIF(Por_Apartamento!$B$7:$B$19,B7,Por_Apartamento!$G$7:$G$19)</f>
        <v>92776.03</v>
      </c>
    </row>
    <row r="8" spans="1:11" ht="13.9">
      <c r="B8" s="5" t="s">
        <v>18</v>
      </c>
      <c r="C8" s="5">
        <f>SUM(C6:C7)</f>
        <v>13</v>
      </c>
      <c r="D8" s="5">
        <f>SUM(D6:D7)</f>
        <v>1613</v>
      </c>
      <c r="E8" s="5">
        <f>SUM(E6:E7)</f>
        <v>3868</v>
      </c>
      <c r="F8" s="6">
        <f>IFERROR(D8/E8*100,0)</f>
        <v>41.701137538779733</v>
      </c>
      <c r="G8" s="7">
        <f>SUM(G6:G7)</f>
        <v>286616.07</v>
      </c>
    </row>
  </sheetData>
  <mergeCells count="2">
    <mergeCell ref="B1:K1"/>
    <mergeCell ref="B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K24" sqref="K24"/>
    </sheetView>
  </sheetViews>
  <sheetFormatPr defaultRowHeight="13.5"/>
  <cols>
    <col min="1" max="1" width="15" customWidth="1"/>
    <col min="2" max="2" width="23" customWidth="1"/>
    <col min="3" max="3" width="13" customWidth="1"/>
    <col min="4" max="8" width="19" customWidth="1"/>
  </cols>
  <sheetData>
    <row r="1" spans="1:11" ht="16.05" customHeight="1">
      <c r="A1" s="1"/>
      <c r="B1" s="15" t="s">
        <v>19</v>
      </c>
      <c r="C1" s="10"/>
      <c r="D1" s="10"/>
      <c r="E1" s="10"/>
      <c r="F1" s="10"/>
      <c r="G1" s="10"/>
      <c r="H1" s="10"/>
      <c r="I1" s="10"/>
      <c r="J1" s="10"/>
      <c r="K1" s="10"/>
    </row>
    <row r="2" spans="1:11" ht="11.55" customHeight="1">
      <c r="A2" s="1"/>
      <c r="B2" s="16" t="s">
        <v>20</v>
      </c>
      <c r="C2" s="10"/>
      <c r="D2" s="10"/>
      <c r="E2" s="10"/>
      <c r="F2" s="10"/>
      <c r="G2" s="10"/>
      <c r="H2" s="10"/>
      <c r="I2" s="10"/>
      <c r="J2" s="10"/>
      <c r="K2" s="10"/>
    </row>
    <row r="6" spans="1:11" ht="13.5" customHeight="1">
      <c r="A6" s="2" t="s">
        <v>21</v>
      </c>
      <c r="B6" s="2" t="s">
        <v>6</v>
      </c>
      <c r="C6" s="2" t="s">
        <v>22</v>
      </c>
      <c r="D6" s="2" t="s">
        <v>8</v>
      </c>
      <c r="E6" s="2" t="s">
        <v>15</v>
      </c>
      <c r="F6" s="2" t="s">
        <v>9</v>
      </c>
      <c r="G6" s="2" t="s">
        <v>10</v>
      </c>
      <c r="H6" s="2" t="s">
        <v>23</v>
      </c>
    </row>
    <row r="7" spans="1:11">
      <c r="A7" t="s">
        <v>24</v>
      </c>
      <c r="B7" t="s">
        <v>17</v>
      </c>
      <c r="C7" t="s">
        <v>25</v>
      </c>
      <c r="D7">
        <f>SUMIF(Dados_Ocupacao!$B:$B,A7,Dados_Ocupacao!$C:$C)</f>
        <v>115</v>
      </c>
      <c r="E7">
        <f>SUMIF(Dados_Ocupacao!B1:B128,A7,Dados_Ocupacao!D1:D128)</f>
        <v>276</v>
      </c>
      <c r="F7" s="4">
        <f t="shared" ref="F7:F20" si="0">IFERROR(D7/E7*100,0)</f>
        <v>41.666666666666671</v>
      </c>
      <c r="G7">
        <f>SUMIF(reservas_mensais[codigo_unidade],A7,reservas_mensais[total_valor_reservas])</f>
        <v>28679.190000000002</v>
      </c>
      <c r="H7">
        <f>SUMIF(ocupacao_mensal[codigo_unidade],A7,ocupacao_mensal[noites_ocupadas])</f>
        <v>115</v>
      </c>
    </row>
    <row r="8" spans="1:11">
      <c r="A8" t="s">
        <v>26</v>
      </c>
      <c r="B8" t="s">
        <v>17</v>
      </c>
      <c r="C8" t="s">
        <v>25</v>
      </c>
      <c r="D8">
        <f>SUMIF(Dados_Ocupacao!$B:$B,A8,Dados_Ocupacao!$C:$C)</f>
        <v>140</v>
      </c>
      <c r="E8">
        <f>SUMIF(Dados_Ocupacao!B2:B129,A8,Dados_Ocupacao!D2:D129)</f>
        <v>304</v>
      </c>
      <c r="F8" s="4">
        <f t="shared" si="0"/>
        <v>46.05263157894737</v>
      </c>
      <c r="G8">
        <f>SUMIF(reservas_mensais[codigo_unidade],A8,reservas_mensais[total_valor_reservas])</f>
        <v>19015.96</v>
      </c>
      <c r="H8">
        <f>SUMIF(ocupacao_mensal[codigo_unidade],A8,ocupacao_mensal[noites_ocupadas])</f>
        <v>140</v>
      </c>
    </row>
    <row r="9" spans="1:11">
      <c r="A9" t="s">
        <v>27</v>
      </c>
      <c r="B9" t="s">
        <v>17</v>
      </c>
      <c r="C9" t="s">
        <v>25</v>
      </c>
      <c r="D9">
        <f>SUMIF(Dados_Ocupacao!$B:$B,A9,Dados_Ocupacao!$C:$C)</f>
        <v>138</v>
      </c>
      <c r="E9">
        <f>SUMIF(Dados_Ocupacao!B3:B130,A9,Dados_Ocupacao!D3:D130)</f>
        <v>304</v>
      </c>
      <c r="F9" s="4">
        <f t="shared" si="0"/>
        <v>45.394736842105267</v>
      </c>
      <c r="G9">
        <f>SUMIF(reservas_mensais[codigo_unidade],A9,reservas_mensais[total_valor_reservas])</f>
        <v>18983.640000000003</v>
      </c>
      <c r="H9">
        <f>SUMIF(ocupacao_mensal[codigo_unidade],A9,ocupacao_mensal[noites_ocupadas])</f>
        <v>138</v>
      </c>
    </row>
    <row r="10" spans="1:11">
      <c r="A10" t="s">
        <v>28</v>
      </c>
      <c r="B10" t="s">
        <v>17</v>
      </c>
      <c r="C10" t="s">
        <v>25</v>
      </c>
      <c r="D10">
        <f>SUMIF(Dados_Ocupacao!$B:$B,A10,Dados_Ocupacao!$C:$C)</f>
        <v>107</v>
      </c>
      <c r="E10">
        <f>SUMIF(Dados_Ocupacao!B4:B131,A10,Dados_Ocupacao!D4:D131)</f>
        <v>304</v>
      </c>
      <c r="F10" s="4">
        <f t="shared" si="0"/>
        <v>35.19736842105263</v>
      </c>
      <c r="G10">
        <f>SUMIF(reservas_mensais[codigo_unidade],A10,reservas_mensais[total_valor_reservas])</f>
        <v>26097.239999999994</v>
      </c>
      <c r="H10">
        <f>SUMIF(ocupacao_mensal[codigo_unidade],A10,ocupacao_mensal[noites_ocupadas])</f>
        <v>107</v>
      </c>
    </row>
    <row r="11" spans="1:11">
      <c r="A11" t="s">
        <v>29</v>
      </c>
      <c r="B11" t="s">
        <v>16</v>
      </c>
      <c r="C11" t="s">
        <v>25</v>
      </c>
      <c r="D11">
        <f>SUMIF(Dados_Ocupacao!$B:$B,A11,Dados_Ocupacao!$C:$C)</f>
        <v>121</v>
      </c>
      <c r="E11">
        <f>SUMIF(Dados_Ocupacao!B5:B132,A11,Dados_Ocupacao!D5:D132)</f>
        <v>304</v>
      </c>
      <c r="F11" s="4">
        <f t="shared" si="0"/>
        <v>39.80263157894737</v>
      </c>
      <c r="G11">
        <f>SUMIF(reservas_mensais[codigo_unidade],A11,reservas_mensais[total_valor_reservas])</f>
        <v>35658.44</v>
      </c>
      <c r="H11">
        <f>SUMIF(ocupacao_mensal[codigo_unidade],A11,ocupacao_mensal[noites_ocupadas])</f>
        <v>121</v>
      </c>
    </row>
    <row r="12" spans="1:11">
      <c r="A12" t="s">
        <v>30</v>
      </c>
      <c r="B12" t="s">
        <v>16</v>
      </c>
      <c r="C12" t="s">
        <v>25</v>
      </c>
      <c r="D12">
        <f>SUMIF(Dados_Ocupacao!$B:$B,A12,Dados_Ocupacao!$C:$C)</f>
        <v>110</v>
      </c>
      <c r="E12">
        <f>SUMIF(Dados_Ocupacao!B6:B133,A12,Dados_Ocupacao!D6:D133)</f>
        <v>304</v>
      </c>
      <c r="F12" s="4">
        <f t="shared" si="0"/>
        <v>36.184210526315788</v>
      </c>
      <c r="G12">
        <f>SUMIF(reservas_mensais[codigo_unidade],A12,reservas_mensais[total_valor_reservas])</f>
        <v>19344.689999999999</v>
      </c>
      <c r="H12">
        <f>SUMIF(ocupacao_mensal[codigo_unidade],A12,ocupacao_mensal[noites_ocupadas])</f>
        <v>110</v>
      </c>
    </row>
    <row r="13" spans="1:11">
      <c r="A13" t="s">
        <v>31</v>
      </c>
      <c r="B13" t="s">
        <v>16</v>
      </c>
      <c r="C13" t="s">
        <v>25</v>
      </c>
      <c r="D13">
        <f>SUMIF(Dados_Ocupacao!$B:$B,A13,Dados_Ocupacao!$C:$C)</f>
        <v>134</v>
      </c>
      <c r="E13">
        <f>SUMIF(Dados_Ocupacao!B7:B134,A13,Dados_Ocupacao!D7:D134)</f>
        <v>304</v>
      </c>
      <c r="F13" s="4">
        <f t="shared" si="0"/>
        <v>44.078947368421048</v>
      </c>
      <c r="G13">
        <f>SUMIF(reservas_mensais[codigo_unidade],A13,reservas_mensais[total_valor_reservas])</f>
        <v>21258.92</v>
      </c>
      <c r="H13">
        <f>SUMIF(ocupacao_mensal[codigo_unidade],A13,ocupacao_mensal[noites_ocupadas])</f>
        <v>134</v>
      </c>
    </row>
    <row r="14" spans="1:11">
      <c r="A14" t="s">
        <v>32</v>
      </c>
      <c r="B14" t="s">
        <v>16</v>
      </c>
      <c r="C14" t="s">
        <v>25</v>
      </c>
      <c r="D14">
        <f>SUMIF(Dados_Ocupacao!$B:$B,A14,Dados_Ocupacao!$C:$C)</f>
        <v>134</v>
      </c>
      <c r="E14">
        <f>SUMIF(Dados_Ocupacao!B8:B135,A14,Dados_Ocupacao!D8:D135)</f>
        <v>304</v>
      </c>
      <c r="F14" s="4">
        <f t="shared" si="0"/>
        <v>44.078947368421048</v>
      </c>
      <c r="G14">
        <f>SUMIF(reservas_mensais[codigo_unidade],A14,reservas_mensais[total_valor_reservas])</f>
        <v>21498.139999999996</v>
      </c>
      <c r="H14">
        <f>SUMIF(ocupacao_mensal[codigo_unidade],A14,ocupacao_mensal[noites_ocupadas])</f>
        <v>134</v>
      </c>
    </row>
    <row r="15" spans="1:11">
      <c r="A15" t="s">
        <v>33</v>
      </c>
      <c r="B15" t="s">
        <v>16</v>
      </c>
      <c r="C15" t="s">
        <v>25</v>
      </c>
      <c r="D15">
        <f>SUMIF(Dados_Ocupacao!$B:$B,A15,Dados_Ocupacao!$C:$C)</f>
        <v>158</v>
      </c>
      <c r="E15">
        <f>SUMIF(Dados_Ocupacao!B9:B136,A15,Dados_Ocupacao!D9:D136)</f>
        <v>304</v>
      </c>
      <c r="F15" s="4">
        <f t="shared" si="0"/>
        <v>51.973684210526315</v>
      </c>
      <c r="G15">
        <f>SUMIF(reservas_mensais[codigo_unidade],A15,reservas_mensais[total_valor_reservas])</f>
        <v>20322.7</v>
      </c>
      <c r="H15">
        <f>SUMIF(ocupacao_mensal[codigo_unidade],A15,ocupacao_mensal[noites_ocupadas])</f>
        <v>158</v>
      </c>
    </row>
    <row r="16" spans="1:11">
      <c r="A16" t="s">
        <v>34</v>
      </c>
      <c r="B16" t="s">
        <v>16</v>
      </c>
      <c r="C16" t="s">
        <v>25</v>
      </c>
      <c r="D16">
        <f>SUMIF(Dados_Ocupacao!$B:$B,A16,Dados_Ocupacao!$C:$C)</f>
        <v>101</v>
      </c>
      <c r="E16">
        <f>SUMIF(Dados_Ocupacao!B10:B137,A16,Dados_Ocupacao!D10:D137)</f>
        <v>304</v>
      </c>
      <c r="F16" s="4">
        <f t="shared" si="0"/>
        <v>33.223684210526315</v>
      </c>
      <c r="G16">
        <f>SUMIF(reservas_mensais[codigo_unidade],A16,reservas_mensais[total_valor_reservas])</f>
        <v>16431.21</v>
      </c>
      <c r="H16">
        <f>SUMIF(ocupacao_mensal[codigo_unidade],A16,ocupacao_mensal[noites_ocupadas])</f>
        <v>101</v>
      </c>
    </row>
    <row r="17" spans="1:8">
      <c r="A17" t="s">
        <v>35</v>
      </c>
      <c r="B17" t="s">
        <v>16</v>
      </c>
      <c r="C17" t="s">
        <v>25</v>
      </c>
      <c r="D17">
        <f>SUMIF(Dados_Ocupacao!$B:$B,A17,Dados_Ocupacao!$C:$C)</f>
        <v>138</v>
      </c>
      <c r="E17">
        <f>SUMIF(Dados_Ocupacao!B11:B138,A17,Dados_Ocupacao!D11:D138)</f>
        <v>276</v>
      </c>
      <c r="F17" s="4">
        <f t="shared" si="0"/>
        <v>50</v>
      </c>
      <c r="G17">
        <f>SUMIF(reservas_mensais[codigo_unidade],A17,reservas_mensais[total_valor_reservas])</f>
        <v>17998.13</v>
      </c>
      <c r="H17">
        <f>SUMIF(ocupacao_mensal[codigo_unidade],A17,ocupacao_mensal[noites_ocupadas])</f>
        <v>138</v>
      </c>
    </row>
    <row r="18" spans="1:8">
      <c r="A18" t="s">
        <v>36</v>
      </c>
      <c r="B18" t="s">
        <v>16</v>
      </c>
      <c r="C18" t="s">
        <v>25</v>
      </c>
      <c r="D18">
        <f>SUMIF(Dados_Ocupacao!$B:$B,A18,Dados_Ocupacao!$C:$C)</f>
        <v>129</v>
      </c>
      <c r="E18">
        <f>SUMIF(Dados_Ocupacao!B12:B139,A18,Dados_Ocupacao!D12:D139)</f>
        <v>304</v>
      </c>
      <c r="F18" s="4">
        <f t="shared" si="0"/>
        <v>42.434210526315788</v>
      </c>
      <c r="G18">
        <f>SUMIF(reservas_mensais[codigo_unidade],A18,reservas_mensais[total_valor_reservas])</f>
        <v>21265.82</v>
      </c>
      <c r="H18">
        <f>SUMIF(ocupacao_mensal[codigo_unidade],A18,ocupacao_mensal[noites_ocupadas])</f>
        <v>129</v>
      </c>
    </row>
    <row r="19" spans="1:8">
      <c r="A19" t="s">
        <v>37</v>
      </c>
      <c r="B19" t="s">
        <v>16</v>
      </c>
      <c r="C19" t="s">
        <v>25</v>
      </c>
      <c r="D19">
        <f>SUMIF(Dados_Ocupacao!$B:$B,A19,Dados_Ocupacao!$C:$C)</f>
        <v>88</v>
      </c>
      <c r="E19">
        <f>SUMIF(Dados_Ocupacao!B13:B140,A19,Dados_Ocupacao!D13:D140)</f>
        <v>276</v>
      </c>
      <c r="F19" s="4">
        <f t="shared" si="0"/>
        <v>31.884057971014489</v>
      </c>
      <c r="G19">
        <f>SUMIF(reservas_mensais[codigo_unidade],A19,reservas_mensais[total_valor_reservas])</f>
        <v>20061.989999999998</v>
      </c>
      <c r="H19">
        <f>SUMIF(ocupacao_mensal[codigo_unidade],A19,ocupacao_mensal[noites_ocupadas])</f>
        <v>88</v>
      </c>
    </row>
    <row r="20" spans="1:8" ht="13.9">
      <c r="A20" s="5" t="s">
        <v>18</v>
      </c>
      <c r="B20" s="5" t="s">
        <v>38</v>
      </c>
      <c r="C20" s="5" t="s">
        <v>25</v>
      </c>
      <c r="D20" s="5">
        <f>SUM(D7:D19)</f>
        <v>1613</v>
      </c>
      <c r="E20" s="5">
        <f>SUM(E7:E19)</f>
        <v>3868</v>
      </c>
      <c r="F20" s="6">
        <f t="shared" si="0"/>
        <v>41.701137538779733</v>
      </c>
      <c r="G20" s="7">
        <f>SUM(G7:G19)</f>
        <v>286616.07</v>
      </c>
      <c r="H20" s="5">
        <f>SUM(H7:H19)</f>
        <v>1613</v>
      </c>
    </row>
  </sheetData>
  <mergeCells count="2">
    <mergeCell ref="B1:K1"/>
    <mergeCell ref="B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pane ySplit="1" topLeftCell="A2" activePane="bottomLeft" state="frozen"/>
      <selection pane="bottomLeft" activeCell="G2" sqref="G2"/>
    </sheetView>
  </sheetViews>
  <sheetFormatPr defaultRowHeight="13.5"/>
  <cols>
    <col min="1" max="1" width="16.0625" bestFit="1" customWidth="1"/>
    <col min="2" max="2" width="23.75" bestFit="1" customWidth="1"/>
    <col min="3" max="3" width="20.5625" bestFit="1" customWidth="1"/>
    <col min="4" max="4" width="17.9375" bestFit="1" customWidth="1"/>
    <col min="5" max="5" width="22.625" bestFit="1" customWidth="1"/>
    <col min="6" max="6" width="22.4375" bestFit="1" customWidth="1"/>
    <col min="7" max="7" width="22.375" bestFit="1" customWidth="1"/>
  </cols>
  <sheetData>
    <row r="1" spans="1:7" ht="13.9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</row>
    <row r="2" spans="1:7">
      <c r="A2" s="8">
        <v>46023</v>
      </c>
      <c r="B2">
        <v>217</v>
      </c>
      <c r="C2" s="3">
        <v>18033.73</v>
      </c>
      <c r="D2">
        <v>93</v>
      </c>
      <c r="E2">
        <v>124</v>
      </c>
      <c r="F2">
        <v>403</v>
      </c>
      <c r="G2" s="4">
        <v>30.77</v>
      </c>
    </row>
    <row r="3" spans="1:7">
      <c r="A3" s="8">
        <v>46054</v>
      </c>
      <c r="B3">
        <v>114</v>
      </c>
      <c r="C3" s="3">
        <v>10700.26</v>
      </c>
      <c r="D3">
        <v>54</v>
      </c>
      <c r="E3">
        <v>60</v>
      </c>
      <c r="F3">
        <v>364</v>
      </c>
      <c r="G3" s="4">
        <v>16.48</v>
      </c>
    </row>
    <row r="4" spans="1:7">
      <c r="A4" s="8">
        <v>46082</v>
      </c>
      <c r="B4">
        <v>194</v>
      </c>
      <c r="C4" s="3">
        <v>17420.68</v>
      </c>
      <c r="D4">
        <v>77</v>
      </c>
      <c r="E4">
        <v>117</v>
      </c>
      <c r="F4">
        <v>403</v>
      </c>
      <c r="G4" s="4">
        <v>29.03</v>
      </c>
    </row>
    <row r="5" spans="1:7">
      <c r="A5" s="8">
        <v>46113</v>
      </c>
      <c r="B5">
        <v>241</v>
      </c>
      <c r="C5" s="3">
        <v>27158.05</v>
      </c>
      <c r="D5">
        <v>91</v>
      </c>
      <c r="E5">
        <v>150</v>
      </c>
      <c r="F5">
        <v>390</v>
      </c>
      <c r="G5" s="4">
        <v>38.46</v>
      </c>
    </row>
    <row r="6" spans="1:7">
      <c r="A6" s="8">
        <v>46143</v>
      </c>
      <c r="B6">
        <v>329</v>
      </c>
      <c r="C6" s="3">
        <v>33361.279999999999</v>
      </c>
      <c r="D6">
        <v>114</v>
      </c>
      <c r="E6">
        <v>215</v>
      </c>
      <c r="F6">
        <v>403</v>
      </c>
      <c r="G6" s="4">
        <v>53.35</v>
      </c>
    </row>
    <row r="7" spans="1:7">
      <c r="A7" s="8">
        <v>46174</v>
      </c>
      <c r="B7">
        <v>310</v>
      </c>
      <c r="C7" s="3">
        <v>33225.379999999997</v>
      </c>
      <c r="D7">
        <v>125</v>
      </c>
      <c r="E7">
        <v>185</v>
      </c>
      <c r="F7">
        <v>390</v>
      </c>
      <c r="G7" s="4">
        <v>47.44</v>
      </c>
    </row>
    <row r="8" spans="1:7">
      <c r="A8" s="8">
        <v>46204</v>
      </c>
      <c r="B8">
        <v>317</v>
      </c>
      <c r="C8" s="3">
        <v>38338.379999999997</v>
      </c>
      <c r="D8">
        <v>127</v>
      </c>
      <c r="E8">
        <v>190</v>
      </c>
      <c r="F8">
        <v>403</v>
      </c>
      <c r="G8" s="4">
        <v>47.15</v>
      </c>
    </row>
    <row r="9" spans="1:7">
      <c r="A9" s="8">
        <v>46235</v>
      </c>
      <c r="B9">
        <v>324</v>
      </c>
      <c r="C9" s="3">
        <v>46832.3</v>
      </c>
      <c r="D9">
        <v>111</v>
      </c>
      <c r="E9">
        <v>213</v>
      </c>
      <c r="F9">
        <v>403</v>
      </c>
      <c r="G9" s="4">
        <v>52.85</v>
      </c>
    </row>
    <row r="10" spans="1:7">
      <c r="A10" s="8">
        <v>46266</v>
      </c>
      <c r="B10">
        <v>302</v>
      </c>
      <c r="C10" s="3">
        <v>32146.47</v>
      </c>
      <c r="D10">
        <v>116</v>
      </c>
      <c r="E10">
        <v>186</v>
      </c>
      <c r="F10">
        <v>390</v>
      </c>
      <c r="G10" s="4">
        <v>47.69</v>
      </c>
    </row>
    <row r="11" spans="1:7">
      <c r="A11" s="8">
        <v>46296</v>
      </c>
      <c r="B11">
        <v>300</v>
      </c>
      <c r="C11" s="3">
        <v>29399.54</v>
      </c>
      <c r="D11">
        <v>127</v>
      </c>
      <c r="E11">
        <v>173</v>
      </c>
      <c r="F11">
        <v>403</v>
      </c>
      <c r="G11" s="4">
        <v>42.93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8"/>
  <sheetViews>
    <sheetView workbookViewId="0">
      <pane ySplit="1" topLeftCell="A93" activePane="bottomLeft" state="frozen"/>
      <selection pane="bottomLeft"/>
    </sheetView>
  </sheetViews>
  <sheetFormatPr defaultRowHeight="13.5"/>
  <cols>
    <col min="1" max="1" width="16.0625" bestFit="1" customWidth="1"/>
    <col min="2" max="2" width="16.8125" bestFit="1" customWidth="1"/>
    <col min="3" max="3" width="17.6875" bestFit="1" customWidth="1"/>
    <col min="4" max="4" width="11" bestFit="1" customWidth="1"/>
    <col min="5" max="5" width="15.9375" bestFit="1" customWidth="1"/>
  </cols>
  <sheetData>
    <row r="1" spans="1:5" ht="13.9">
      <c r="A1" s="2" t="s">
        <v>39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>
      <c r="A2" s="8">
        <v>46023</v>
      </c>
      <c r="B2" t="s">
        <v>24</v>
      </c>
      <c r="C2">
        <v>11</v>
      </c>
      <c r="D2">
        <v>31</v>
      </c>
      <c r="E2">
        <v>35.479999999999997</v>
      </c>
    </row>
    <row r="3" spans="1:5">
      <c r="A3" s="8">
        <v>46023</v>
      </c>
      <c r="B3" t="s">
        <v>26</v>
      </c>
      <c r="C3">
        <v>15</v>
      </c>
      <c r="D3">
        <v>31</v>
      </c>
      <c r="E3">
        <v>48.39</v>
      </c>
    </row>
    <row r="4" spans="1:5">
      <c r="A4" s="8">
        <v>46023</v>
      </c>
      <c r="B4" t="s">
        <v>27</v>
      </c>
      <c r="C4">
        <v>12</v>
      </c>
      <c r="D4">
        <v>31</v>
      </c>
      <c r="E4">
        <v>38.71</v>
      </c>
    </row>
    <row r="5" spans="1:5">
      <c r="A5" s="8">
        <v>46023</v>
      </c>
      <c r="B5" t="s">
        <v>28</v>
      </c>
      <c r="C5">
        <v>6</v>
      </c>
      <c r="D5">
        <v>31</v>
      </c>
      <c r="E5">
        <v>19.350000000000001</v>
      </c>
    </row>
    <row r="6" spans="1:5">
      <c r="A6" s="8">
        <v>46023</v>
      </c>
      <c r="B6" t="s">
        <v>29</v>
      </c>
      <c r="C6">
        <v>7</v>
      </c>
      <c r="D6">
        <v>31</v>
      </c>
      <c r="E6">
        <v>22.58</v>
      </c>
    </row>
    <row r="7" spans="1:5">
      <c r="A7" s="8">
        <v>46023</v>
      </c>
      <c r="B7" t="s">
        <v>30</v>
      </c>
      <c r="C7">
        <v>3</v>
      </c>
      <c r="D7">
        <v>31</v>
      </c>
      <c r="E7">
        <v>9.68</v>
      </c>
    </row>
    <row r="8" spans="1:5">
      <c r="A8" s="8">
        <v>46023</v>
      </c>
      <c r="B8" t="s">
        <v>31</v>
      </c>
      <c r="C8">
        <v>12</v>
      </c>
      <c r="D8">
        <v>31</v>
      </c>
      <c r="E8">
        <v>38.71</v>
      </c>
    </row>
    <row r="9" spans="1:5">
      <c r="A9" s="8">
        <v>46023</v>
      </c>
      <c r="B9" t="s">
        <v>32</v>
      </c>
      <c r="C9">
        <v>16</v>
      </c>
      <c r="D9">
        <v>31</v>
      </c>
      <c r="E9">
        <v>51.61</v>
      </c>
    </row>
    <row r="10" spans="1:5">
      <c r="A10" s="8">
        <v>46023</v>
      </c>
      <c r="B10" t="s">
        <v>33</v>
      </c>
      <c r="C10">
        <v>12</v>
      </c>
      <c r="D10">
        <v>31</v>
      </c>
      <c r="E10">
        <v>38.71</v>
      </c>
    </row>
    <row r="11" spans="1:5">
      <c r="A11" s="8">
        <v>46023</v>
      </c>
      <c r="B11" t="s">
        <v>34</v>
      </c>
      <c r="C11">
        <v>2</v>
      </c>
      <c r="D11">
        <v>31</v>
      </c>
      <c r="E11">
        <v>6.45</v>
      </c>
    </row>
    <row r="12" spans="1:5">
      <c r="A12" s="8">
        <v>46023</v>
      </c>
      <c r="B12" t="s">
        <v>35</v>
      </c>
      <c r="C12">
        <v>9</v>
      </c>
      <c r="D12">
        <v>31</v>
      </c>
      <c r="E12">
        <v>29.03</v>
      </c>
    </row>
    <row r="13" spans="1:5">
      <c r="A13" s="8">
        <v>46023</v>
      </c>
      <c r="B13" t="s">
        <v>36</v>
      </c>
      <c r="C13">
        <v>11</v>
      </c>
      <c r="D13">
        <v>31</v>
      </c>
      <c r="E13">
        <v>35.479999999999997</v>
      </c>
    </row>
    <row r="14" spans="1:5">
      <c r="A14" s="8">
        <v>46023</v>
      </c>
      <c r="B14" t="s">
        <v>37</v>
      </c>
      <c r="C14">
        <v>8</v>
      </c>
      <c r="D14">
        <v>31</v>
      </c>
      <c r="E14">
        <v>25.81</v>
      </c>
    </row>
    <row r="15" spans="1:5">
      <c r="A15" s="8">
        <v>46082</v>
      </c>
      <c r="B15" t="s">
        <v>24</v>
      </c>
      <c r="C15">
        <v>6</v>
      </c>
      <c r="D15">
        <v>31</v>
      </c>
      <c r="E15">
        <v>19.350000000000001</v>
      </c>
    </row>
    <row r="16" spans="1:5">
      <c r="A16" s="8">
        <v>46082</v>
      </c>
      <c r="B16" t="s">
        <v>26</v>
      </c>
      <c r="C16">
        <v>6</v>
      </c>
      <c r="D16">
        <v>31</v>
      </c>
      <c r="E16">
        <v>19.350000000000001</v>
      </c>
    </row>
    <row r="17" spans="1:5">
      <c r="A17" s="8">
        <v>46082</v>
      </c>
      <c r="B17" t="s">
        <v>27</v>
      </c>
      <c r="C17">
        <v>16</v>
      </c>
      <c r="D17">
        <v>31</v>
      </c>
      <c r="E17">
        <v>51.61</v>
      </c>
    </row>
    <row r="18" spans="1:5">
      <c r="A18" s="8">
        <v>46082</v>
      </c>
      <c r="B18" t="s">
        <v>28</v>
      </c>
      <c r="C18">
        <v>2</v>
      </c>
      <c r="D18">
        <v>31</v>
      </c>
      <c r="E18">
        <v>6.45</v>
      </c>
    </row>
    <row r="19" spans="1:5">
      <c r="A19" s="8">
        <v>46082</v>
      </c>
      <c r="B19" t="s">
        <v>29</v>
      </c>
      <c r="C19">
        <v>11</v>
      </c>
      <c r="D19">
        <v>31</v>
      </c>
      <c r="E19">
        <v>35.479999999999997</v>
      </c>
    </row>
    <row r="20" spans="1:5">
      <c r="A20" s="8">
        <v>46082</v>
      </c>
      <c r="B20" t="s">
        <v>30</v>
      </c>
      <c r="C20">
        <v>6</v>
      </c>
      <c r="D20">
        <v>31</v>
      </c>
      <c r="E20">
        <v>19.350000000000001</v>
      </c>
    </row>
    <row r="21" spans="1:5">
      <c r="A21" s="8">
        <v>46082</v>
      </c>
      <c r="B21" t="s">
        <v>31</v>
      </c>
      <c r="C21">
        <v>6</v>
      </c>
      <c r="D21">
        <v>31</v>
      </c>
      <c r="E21">
        <v>19.350000000000001</v>
      </c>
    </row>
    <row r="22" spans="1:5">
      <c r="A22" s="8">
        <v>46082</v>
      </c>
      <c r="B22" t="s">
        <v>32</v>
      </c>
      <c r="C22">
        <v>15</v>
      </c>
      <c r="D22">
        <v>31</v>
      </c>
      <c r="E22">
        <v>48.39</v>
      </c>
    </row>
    <row r="23" spans="1:5">
      <c r="A23" s="8">
        <v>46082</v>
      </c>
      <c r="B23" t="s">
        <v>33</v>
      </c>
      <c r="C23">
        <v>16</v>
      </c>
      <c r="D23">
        <v>31</v>
      </c>
      <c r="E23">
        <v>51.61</v>
      </c>
    </row>
    <row r="24" spans="1:5">
      <c r="A24" s="8">
        <v>46082</v>
      </c>
      <c r="B24" t="s">
        <v>34</v>
      </c>
      <c r="C24">
        <v>8</v>
      </c>
      <c r="D24">
        <v>31</v>
      </c>
      <c r="E24">
        <v>25.81</v>
      </c>
    </row>
    <row r="25" spans="1:5">
      <c r="A25" s="8">
        <v>46082</v>
      </c>
      <c r="B25" t="s">
        <v>35</v>
      </c>
      <c r="C25">
        <v>14</v>
      </c>
      <c r="D25">
        <v>31</v>
      </c>
      <c r="E25">
        <v>45.16</v>
      </c>
    </row>
    <row r="26" spans="1:5">
      <c r="A26" s="8">
        <v>46082</v>
      </c>
      <c r="B26" t="s">
        <v>36</v>
      </c>
      <c r="C26">
        <v>5</v>
      </c>
      <c r="D26">
        <v>31</v>
      </c>
      <c r="E26">
        <v>16.13</v>
      </c>
    </row>
    <row r="27" spans="1:5">
      <c r="A27" s="8">
        <v>46082</v>
      </c>
      <c r="B27" t="s">
        <v>37</v>
      </c>
      <c r="C27">
        <v>6</v>
      </c>
      <c r="D27">
        <v>31</v>
      </c>
      <c r="E27">
        <v>19.350000000000001</v>
      </c>
    </row>
    <row r="28" spans="1:5">
      <c r="A28" s="8">
        <v>46143</v>
      </c>
      <c r="B28" t="s">
        <v>24</v>
      </c>
      <c r="C28">
        <v>17</v>
      </c>
      <c r="D28">
        <v>31</v>
      </c>
      <c r="E28">
        <v>54.84</v>
      </c>
    </row>
    <row r="29" spans="1:5">
      <c r="A29" s="8">
        <v>46143</v>
      </c>
      <c r="B29" t="s">
        <v>26</v>
      </c>
      <c r="C29">
        <v>25</v>
      </c>
      <c r="D29">
        <v>31</v>
      </c>
      <c r="E29">
        <v>80.650000000000006</v>
      </c>
    </row>
    <row r="30" spans="1:5">
      <c r="A30" s="8">
        <v>46143</v>
      </c>
      <c r="B30" t="s">
        <v>27</v>
      </c>
      <c r="C30">
        <v>14</v>
      </c>
      <c r="D30">
        <v>31</v>
      </c>
      <c r="E30">
        <v>45.16</v>
      </c>
    </row>
    <row r="31" spans="1:5">
      <c r="A31" s="8">
        <v>46143</v>
      </c>
      <c r="B31" t="s">
        <v>28</v>
      </c>
      <c r="C31">
        <v>18</v>
      </c>
      <c r="D31">
        <v>31</v>
      </c>
      <c r="E31">
        <v>58.06</v>
      </c>
    </row>
    <row r="32" spans="1:5">
      <c r="A32" s="8">
        <v>46143</v>
      </c>
      <c r="B32" t="s">
        <v>29</v>
      </c>
      <c r="C32">
        <v>11</v>
      </c>
      <c r="D32">
        <v>31</v>
      </c>
      <c r="E32">
        <v>35.479999999999997</v>
      </c>
    </row>
    <row r="33" spans="1:5">
      <c r="A33" s="8">
        <v>46143</v>
      </c>
      <c r="B33" t="s">
        <v>30</v>
      </c>
      <c r="C33">
        <v>15</v>
      </c>
      <c r="D33">
        <v>31</v>
      </c>
      <c r="E33">
        <v>48.39</v>
      </c>
    </row>
    <row r="34" spans="1:5">
      <c r="A34" s="8">
        <v>46143</v>
      </c>
      <c r="B34" t="s">
        <v>31</v>
      </c>
      <c r="C34">
        <v>19</v>
      </c>
      <c r="D34">
        <v>31</v>
      </c>
      <c r="E34">
        <v>61.29</v>
      </c>
    </row>
    <row r="35" spans="1:5">
      <c r="A35" s="8">
        <v>46143</v>
      </c>
      <c r="B35" t="s">
        <v>32</v>
      </c>
      <c r="C35">
        <v>17</v>
      </c>
      <c r="D35">
        <v>31</v>
      </c>
      <c r="E35">
        <v>54.84</v>
      </c>
    </row>
    <row r="36" spans="1:5">
      <c r="A36" s="8">
        <v>46143</v>
      </c>
      <c r="B36" t="s">
        <v>33</v>
      </c>
      <c r="C36">
        <v>22</v>
      </c>
      <c r="D36">
        <v>31</v>
      </c>
      <c r="E36">
        <v>70.97</v>
      </c>
    </row>
    <row r="37" spans="1:5">
      <c r="A37" s="8">
        <v>46143</v>
      </c>
      <c r="B37" t="s">
        <v>34</v>
      </c>
      <c r="C37">
        <v>12</v>
      </c>
      <c r="D37">
        <v>31</v>
      </c>
      <c r="E37">
        <v>38.71</v>
      </c>
    </row>
    <row r="38" spans="1:5">
      <c r="A38" s="8">
        <v>46143</v>
      </c>
      <c r="B38" t="s">
        <v>35</v>
      </c>
      <c r="C38">
        <v>16</v>
      </c>
      <c r="D38">
        <v>31</v>
      </c>
      <c r="E38">
        <v>51.61</v>
      </c>
    </row>
    <row r="39" spans="1:5">
      <c r="A39" s="8">
        <v>46143</v>
      </c>
      <c r="B39" t="s">
        <v>36</v>
      </c>
      <c r="C39">
        <v>15</v>
      </c>
      <c r="D39">
        <v>31</v>
      </c>
      <c r="E39">
        <v>48.39</v>
      </c>
    </row>
    <row r="40" spans="1:5">
      <c r="A40" s="8">
        <v>46143</v>
      </c>
      <c r="B40" t="s">
        <v>37</v>
      </c>
      <c r="C40">
        <v>14</v>
      </c>
      <c r="D40">
        <v>31</v>
      </c>
      <c r="E40">
        <v>45.16</v>
      </c>
    </row>
    <row r="41" spans="1:5">
      <c r="A41" s="8">
        <v>46204</v>
      </c>
      <c r="B41" t="s">
        <v>24</v>
      </c>
      <c r="C41">
        <v>18</v>
      </c>
      <c r="D41">
        <v>31</v>
      </c>
      <c r="E41">
        <v>58.06</v>
      </c>
    </row>
    <row r="42" spans="1:5">
      <c r="A42" s="8">
        <v>46204</v>
      </c>
      <c r="B42" t="s">
        <v>26</v>
      </c>
      <c r="C42">
        <v>17</v>
      </c>
      <c r="D42">
        <v>31</v>
      </c>
      <c r="E42">
        <v>54.84</v>
      </c>
    </row>
    <row r="43" spans="1:5">
      <c r="A43" s="8">
        <v>46204</v>
      </c>
      <c r="B43" t="s">
        <v>27</v>
      </c>
      <c r="C43">
        <v>16</v>
      </c>
      <c r="D43">
        <v>31</v>
      </c>
      <c r="E43">
        <v>51.61</v>
      </c>
    </row>
    <row r="44" spans="1:5">
      <c r="A44" s="8">
        <v>46204</v>
      </c>
      <c r="B44" t="s">
        <v>28</v>
      </c>
      <c r="C44">
        <v>12</v>
      </c>
      <c r="D44">
        <v>31</v>
      </c>
      <c r="E44">
        <v>38.71</v>
      </c>
    </row>
    <row r="45" spans="1:5">
      <c r="A45" s="8">
        <v>46204</v>
      </c>
      <c r="B45" t="s">
        <v>29</v>
      </c>
      <c r="C45">
        <v>16</v>
      </c>
      <c r="D45">
        <v>31</v>
      </c>
      <c r="E45">
        <v>51.61</v>
      </c>
    </row>
    <row r="46" spans="1:5">
      <c r="A46" s="8">
        <v>46204</v>
      </c>
      <c r="B46" t="s">
        <v>30</v>
      </c>
      <c r="C46">
        <v>14</v>
      </c>
      <c r="D46">
        <v>31</v>
      </c>
      <c r="E46">
        <v>45.16</v>
      </c>
    </row>
    <row r="47" spans="1:5">
      <c r="A47" s="8">
        <v>46204</v>
      </c>
      <c r="B47" t="s">
        <v>31</v>
      </c>
      <c r="C47">
        <v>15</v>
      </c>
      <c r="D47">
        <v>31</v>
      </c>
      <c r="E47">
        <v>48.39</v>
      </c>
    </row>
    <row r="48" spans="1:5">
      <c r="A48" s="8">
        <v>46204</v>
      </c>
      <c r="B48" t="s">
        <v>32</v>
      </c>
      <c r="C48">
        <v>16</v>
      </c>
      <c r="D48">
        <v>31</v>
      </c>
      <c r="E48">
        <v>51.61</v>
      </c>
    </row>
    <row r="49" spans="1:5">
      <c r="A49" s="8">
        <v>46204</v>
      </c>
      <c r="B49" t="s">
        <v>33</v>
      </c>
      <c r="C49">
        <v>14</v>
      </c>
      <c r="D49">
        <v>31</v>
      </c>
      <c r="E49">
        <v>45.16</v>
      </c>
    </row>
    <row r="50" spans="1:5">
      <c r="A50" s="8">
        <v>46204</v>
      </c>
      <c r="B50" t="s">
        <v>34</v>
      </c>
      <c r="C50">
        <v>9</v>
      </c>
      <c r="D50">
        <v>31</v>
      </c>
      <c r="E50">
        <v>29.03</v>
      </c>
    </row>
    <row r="51" spans="1:5">
      <c r="A51" s="8">
        <v>46204</v>
      </c>
      <c r="B51" t="s">
        <v>35</v>
      </c>
      <c r="C51">
        <v>15</v>
      </c>
      <c r="D51">
        <v>31</v>
      </c>
      <c r="E51">
        <v>48.39</v>
      </c>
    </row>
    <row r="52" spans="1:5">
      <c r="A52" s="8">
        <v>46204</v>
      </c>
      <c r="B52" t="s">
        <v>36</v>
      </c>
      <c r="C52">
        <v>16</v>
      </c>
      <c r="D52">
        <v>31</v>
      </c>
      <c r="E52">
        <v>51.61</v>
      </c>
    </row>
    <row r="53" spans="1:5">
      <c r="A53" s="8">
        <v>46204</v>
      </c>
      <c r="B53" t="s">
        <v>37</v>
      </c>
      <c r="C53">
        <v>12</v>
      </c>
      <c r="D53">
        <v>31</v>
      </c>
      <c r="E53">
        <v>38.71</v>
      </c>
    </row>
    <row r="54" spans="1:5">
      <c r="A54" s="8">
        <v>46235</v>
      </c>
      <c r="B54" t="s">
        <v>24</v>
      </c>
      <c r="C54">
        <v>15</v>
      </c>
      <c r="D54">
        <v>31</v>
      </c>
      <c r="E54">
        <v>48.39</v>
      </c>
    </row>
    <row r="55" spans="1:5">
      <c r="A55" s="8">
        <v>46235</v>
      </c>
      <c r="B55" t="s">
        <v>26</v>
      </c>
      <c r="C55">
        <v>12</v>
      </c>
      <c r="D55">
        <v>31</v>
      </c>
      <c r="E55">
        <v>38.71</v>
      </c>
    </row>
    <row r="56" spans="1:5">
      <c r="A56" s="8">
        <v>46235</v>
      </c>
      <c r="B56" t="s">
        <v>27</v>
      </c>
      <c r="C56">
        <v>17</v>
      </c>
      <c r="D56">
        <v>31</v>
      </c>
      <c r="E56">
        <v>54.84</v>
      </c>
    </row>
    <row r="57" spans="1:5">
      <c r="A57" s="8">
        <v>46235</v>
      </c>
      <c r="B57" t="s">
        <v>28</v>
      </c>
      <c r="C57">
        <v>17</v>
      </c>
      <c r="D57">
        <v>31</v>
      </c>
      <c r="E57">
        <v>54.84</v>
      </c>
    </row>
    <row r="58" spans="1:5">
      <c r="A58" s="8">
        <v>46235</v>
      </c>
      <c r="B58" t="s">
        <v>29</v>
      </c>
      <c r="C58">
        <v>19</v>
      </c>
      <c r="D58">
        <v>31</v>
      </c>
      <c r="E58">
        <v>61.29</v>
      </c>
    </row>
    <row r="59" spans="1:5">
      <c r="A59" s="8">
        <v>46235</v>
      </c>
      <c r="B59" t="s">
        <v>30</v>
      </c>
      <c r="C59">
        <v>16</v>
      </c>
      <c r="D59">
        <v>31</v>
      </c>
      <c r="E59">
        <v>51.61</v>
      </c>
    </row>
    <row r="60" spans="1:5">
      <c r="A60" s="8">
        <v>46235</v>
      </c>
      <c r="B60" t="s">
        <v>31</v>
      </c>
      <c r="C60">
        <v>21</v>
      </c>
      <c r="D60">
        <v>31</v>
      </c>
      <c r="E60">
        <v>67.739999999999995</v>
      </c>
    </row>
    <row r="61" spans="1:5">
      <c r="A61" s="8">
        <v>46235</v>
      </c>
      <c r="B61" t="s">
        <v>32</v>
      </c>
      <c r="C61">
        <v>17</v>
      </c>
      <c r="D61">
        <v>31</v>
      </c>
      <c r="E61">
        <v>54.84</v>
      </c>
    </row>
    <row r="62" spans="1:5">
      <c r="A62" s="8">
        <v>46235</v>
      </c>
      <c r="B62" t="s">
        <v>33</v>
      </c>
      <c r="C62">
        <v>16</v>
      </c>
      <c r="D62">
        <v>31</v>
      </c>
      <c r="E62">
        <v>51.61</v>
      </c>
    </row>
    <row r="63" spans="1:5">
      <c r="A63" s="8">
        <v>46235</v>
      </c>
      <c r="B63" t="s">
        <v>34</v>
      </c>
      <c r="C63">
        <v>17</v>
      </c>
      <c r="D63">
        <v>31</v>
      </c>
      <c r="E63">
        <v>54.84</v>
      </c>
    </row>
    <row r="64" spans="1:5">
      <c r="A64" s="8">
        <v>46235</v>
      </c>
      <c r="B64" t="s">
        <v>35</v>
      </c>
      <c r="C64">
        <v>20</v>
      </c>
      <c r="D64">
        <v>31</v>
      </c>
      <c r="E64">
        <v>64.52</v>
      </c>
    </row>
    <row r="65" spans="1:5">
      <c r="A65" s="8">
        <v>46235</v>
      </c>
      <c r="B65" t="s">
        <v>36</v>
      </c>
      <c r="C65">
        <v>14</v>
      </c>
      <c r="D65">
        <v>31</v>
      </c>
      <c r="E65">
        <v>45.16</v>
      </c>
    </row>
    <row r="66" spans="1:5">
      <c r="A66" s="8">
        <v>46235</v>
      </c>
      <c r="B66" t="s">
        <v>37</v>
      </c>
      <c r="C66">
        <v>12</v>
      </c>
      <c r="D66">
        <v>31</v>
      </c>
      <c r="E66">
        <v>38.71</v>
      </c>
    </row>
    <row r="67" spans="1:5">
      <c r="A67" s="8">
        <v>46296</v>
      </c>
      <c r="B67" t="s">
        <v>24</v>
      </c>
      <c r="C67">
        <v>13</v>
      </c>
      <c r="D67">
        <v>31</v>
      </c>
      <c r="E67">
        <v>41.94</v>
      </c>
    </row>
    <row r="68" spans="1:5">
      <c r="A68" s="8">
        <v>46296</v>
      </c>
      <c r="B68" t="s">
        <v>26</v>
      </c>
      <c r="C68">
        <v>17</v>
      </c>
      <c r="D68">
        <v>31</v>
      </c>
      <c r="E68" s="4">
        <v>54.84</v>
      </c>
    </row>
    <row r="69" spans="1:5">
      <c r="A69" s="8">
        <v>46296</v>
      </c>
      <c r="B69" t="s">
        <v>27</v>
      </c>
      <c r="C69">
        <v>14</v>
      </c>
      <c r="D69">
        <v>31</v>
      </c>
      <c r="E69" s="4">
        <v>45.16</v>
      </c>
    </row>
    <row r="70" spans="1:5">
      <c r="A70" s="8">
        <v>46296</v>
      </c>
      <c r="B70" t="s">
        <v>28</v>
      </c>
      <c r="C70">
        <v>12</v>
      </c>
      <c r="D70">
        <v>31</v>
      </c>
      <c r="E70" s="4">
        <v>38.71</v>
      </c>
    </row>
    <row r="71" spans="1:5">
      <c r="A71" s="8">
        <v>46296</v>
      </c>
      <c r="B71" t="s">
        <v>29</v>
      </c>
      <c r="C71">
        <v>13</v>
      </c>
      <c r="D71">
        <v>31</v>
      </c>
      <c r="E71" s="4">
        <v>41.94</v>
      </c>
    </row>
    <row r="72" spans="1:5">
      <c r="A72" s="8">
        <v>46296</v>
      </c>
      <c r="B72" t="s">
        <v>30</v>
      </c>
      <c r="C72">
        <v>15</v>
      </c>
      <c r="D72">
        <v>31</v>
      </c>
      <c r="E72" s="4">
        <v>48.39</v>
      </c>
    </row>
    <row r="73" spans="1:5">
      <c r="A73" s="8">
        <v>46296</v>
      </c>
      <c r="B73" t="s">
        <v>31</v>
      </c>
      <c r="C73">
        <v>11</v>
      </c>
      <c r="D73">
        <v>31</v>
      </c>
      <c r="E73" s="4">
        <v>35.479999999999997</v>
      </c>
    </row>
    <row r="74" spans="1:5">
      <c r="A74" s="8">
        <v>46296</v>
      </c>
      <c r="B74" t="s">
        <v>32</v>
      </c>
      <c r="C74">
        <v>10</v>
      </c>
      <c r="D74">
        <v>31</v>
      </c>
      <c r="E74" s="4">
        <v>32.26</v>
      </c>
    </row>
    <row r="75" spans="1:5">
      <c r="A75" s="8">
        <v>46296</v>
      </c>
      <c r="B75" t="s">
        <v>33</v>
      </c>
      <c r="C75">
        <v>17</v>
      </c>
      <c r="D75">
        <v>31</v>
      </c>
      <c r="E75" s="4">
        <v>54.84</v>
      </c>
    </row>
    <row r="76" spans="1:5">
      <c r="A76" s="8">
        <v>46296</v>
      </c>
      <c r="B76" t="s">
        <v>34</v>
      </c>
      <c r="C76">
        <v>16</v>
      </c>
      <c r="D76">
        <v>31</v>
      </c>
      <c r="E76" s="4">
        <v>51.61</v>
      </c>
    </row>
    <row r="77" spans="1:5">
      <c r="A77" s="8">
        <v>46296</v>
      </c>
      <c r="B77" t="s">
        <v>35</v>
      </c>
      <c r="C77">
        <v>11</v>
      </c>
      <c r="D77">
        <v>31</v>
      </c>
      <c r="E77" s="4">
        <v>35.479999999999997</v>
      </c>
    </row>
    <row r="78" spans="1:5">
      <c r="A78" s="8">
        <v>46296</v>
      </c>
      <c r="B78" t="s">
        <v>36</v>
      </c>
      <c r="C78">
        <v>15</v>
      </c>
      <c r="D78">
        <v>31</v>
      </c>
      <c r="E78" s="4">
        <v>48.39</v>
      </c>
    </row>
    <row r="79" spans="1:5">
      <c r="A79" s="8">
        <v>46296</v>
      </c>
      <c r="B79" t="s">
        <v>37</v>
      </c>
      <c r="C79">
        <v>9</v>
      </c>
      <c r="D79">
        <v>31</v>
      </c>
      <c r="E79" s="4">
        <v>29.03</v>
      </c>
    </row>
    <row r="80" spans="1:5">
      <c r="A80" s="8">
        <v>46054</v>
      </c>
      <c r="B80" t="s">
        <v>26</v>
      </c>
      <c r="C80">
        <v>5</v>
      </c>
      <c r="D80">
        <v>28</v>
      </c>
      <c r="E80" s="4">
        <v>17.86</v>
      </c>
    </row>
    <row r="81" spans="1:5">
      <c r="A81" s="8">
        <v>46054</v>
      </c>
      <c r="B81" t="s">
        <v>27</v>
      </c>
      <c r="C81">
        <v>6</v>
      </c>
      <c r="D81">
        <v>28</v>
      </c>
      <c r="E81" s="4">
        <v>21.43</v>
      </c>
    </row>
    <row r="82" spans="1:5">
      <c r="A82" s="8">
        <v>46054</v>
      </c>
      <c r="B82" t="s">
        <v>28</v>
      </c>
      <c r="C82">
        <v>4</v>
      </c>
      <c r="D82">
        <v>28</v>
      </c>
      <c r="E82" s="4">
        <v>14.29</v>
      </c>
    </row>
    <row r="83" spans="1:5">
      <c r="A83" s="8">
        <v>46054</v>
      </c>
      <c r="B83" t="s">
        <v>29</v>
      </c>
      <c r="C83">
        <v>4</v>
      </c>
      <c r="D83">
        <v>28</v>
      </c>
      <c r="E83" s="4">
        <v>14.29</v>
      </c>
    </row>
    <row r="84" spans="1:5">
      <c r="A84" s="8">
        <v>46054</v>
      </c>
      <c r="B84" t="s">
        <v>30</v>
      </c>
      <c r="C84">
        <v>3</v>
      </c>
      <c r="D84">
        <v>28</v>
      </c>
      <c r="E84" s="4">
        <v>10.71</v>
      </c>
    </row>
    <row r="85" spans="1:5">
      <c r="A85" s="8">
        <v>46054</v>
      </c>
      <c r="B85" t="s">
        <v>31</v>
      </c>
      <c r="C85">
        <v>8</v>
      </c>
      <c r="D85">
        <v>28</v>
      </c>
      <c r="E85" s="4">
        <v>28.57</v>
      </c>
    </row>
    <row r="86" spans="1:5">
      <c r="A86" s="8">
        <v>46054</v>
      </c>
      <c r="B86" t="s">
        <v>32</v>
      </c>
      <c r="C86">
        <v>10</v>
      </c>
      <c r="D86">
        <v>28</v>
      </c>
      <c r="E86" s="4">
        <v>35.71</v>
      </c>
    </row>
    <row r="87" spans="1:5">
      <c r="A87" s="8">
        <v>46054</v>
      </c>
      <c r="B87" t="s">
        <v>33</v>
      </c>
      <c r="C87">
        <v>12</v>
      </c>
      <c r="D87">
        <v>28</v>
      </c>
      <c r="E87" s="4">
        <v>42.86</v>
      </c>
    </row>
    <row r="88" spans="1:5">
      <c r="A88" s="8">
        <v>46054</v>
      </c>
      <c r="B88" t="s">
        <v>34</v>
      </c>
      <c r="C88">
        <v>3</v>
      </c>
      <c r="D88">
        <v>28</v>
      </c>
      <c r="E88" s="4">
        <v>10.71</v>
      </c>
    </row>
    <row r="89" spans="1:5">
      <c r="A89" s="8">
        <v>46054</v>
      </c>
      <c r="B89" t="s">
        <v>36</v>
      </c>
      <c r="C89">
        <v>5</v>
      </c>
      <c r="D89">
        <v>28</v>
      </c>
      <c r="E89" s="4">
        <v>17.86</v>
      </c>
    </row>
    <row r="90" spans="1:5">
      <c r="A90" s="8">
        <v>46113</v>
      </c>
      <c r="B90" t="s">
        <v>24</v>
      </c>
      <c r="C90">
        <v>11</v>
      </c>
      <c r="D90">
        <v>30</v>
      </c>
      <c r="E90" s="4">
        <v>36.67</v>
      </c>
    </row>
    <row r="91" spans="1:5">
      <c r="A91" s="8">
        <v>46113</v>
      </c>
      <c r="B91" t="s">
        <v>26</v>
      </c>
      <c r="C91">
        <v>12</v>
      </c>
      <c r="D91">
        <v>30</v>
      </c>
      <c r="E91" s="4">
        <v>40</v>
      </c>
    </row>
    <row r="92" spans="1:5">
      <c r="A92" s="8">
        <v>46113</v>
      </c>
      <c r="B92" t="s">
        <v>27</v>
      </c>
      <c r="C92">
        <v>11</v>
      </c>
      <c r="D92">
        <v>30</v>
      </c>
      <c r="E92" s="4">
        <v>36.67</v>
      </c>
    </row>
    <row r="93" spans="1:5">
      <c r="A93" s="8">
        <v>46113</v>
      </c>
      <c r="B93" t="s">
        <v>28</v>
      </c>
      <c r="C93">
        <v>8</v>
      </c>
      <c r="D93">
        <v>30</v>
      </c>
      <c r="E93" s="4">
        <v>26.67</v>
      </c>
    </row>
    <row r="94" spans="1:5">
      <c r="A94" s="8">
        <v>46113</v>
      </c>
      <c r="B94" t="s">
        <v>29</v>
      </c>
      <c r="C94">
        <v>12</v>
      </c>
      <c r="D94">
        <v>30</v>
      </c>
      <c r="E94" s="4">
        <v>40</v>
      </c>
    </row>
    <row r="95" spans="1:5">
      <c r="A95" s="8">
        <v>46113</v>
      </c>
      <c r="B95" t="s">
        <v>30</v>
      </c>
      <c r="C95">
        <v>10</v>
      </c>
      <c r="D95">
        <v>30</v>
      </c>
      <c r="E95" s="4">
        <v>33.33</v>
      </c>
    </row>
    <row r="96" spans="1:5">
      <c r="A96" s="8">
        <v>46113</v>
      </c>
      <c r="B96" t="s">
        <v>31</v>
      </c>
      <c r="C96">
        <v>14</v>
      </c>
      <c r="D96">
        <v>30</v>
      </c>
      <c r="E96" s="4">
        <v>46.67</v>
      </c>
    </row>
    <row r="97" spans="1:5">
      <c r="A97" s="8">
        <v>46113</v>
      </c>
      <c r="B97" t="s">
        <v>32</v>
      </c>
      <c r="C97">
        <v>7</v>
      </c>
      <c r="D97">
        <v>30</v>
      </c>
      <c r="E97" s="4">
        <v>23.33</v>
      </c>
    </row>
    <row r="98" spans="1:5">
      <c r="A98" s="8">
        <v>46113</v>
      </c>
      <c r="B98" t="s">
        <v>33</v>
      </c>
      <c r="C98">
        <v>15</v>
      </c>
      <c r="D98">
        <v>30</v>
      </c>
      <c r="E98" s="4">
        <v>50</v>
      </c>
    </row>
    <row r="99" spans="1:5">
      <c r="A99" s="8">
        <v>46113</v>
      </c>
      <c r="B99" t="s">
        <v>34</v>
      </c>
      <c r="C99">
        <v>5</v>
      </c>
      <c r="D99">
        <v>30</v>
      </c>
      <c r="E99" s="4">
        <v>16.670000000000002</v>
      </c>
    </row>
    <row r="100" spans="1:5">
      <c r="A100" s="8">
        <v>46113</v>
      </c>
      <c r="B100" t="s">
        <v>35</v>
      </c>
      <c r="C100">
        <v>25</v>
      </c>
      <c r="D100">
        <v>30</v>
      </c>
      <c r="E100" s="4">
        <v>83.33</v>
      </c>
    </row>
    <row r="101" spans="1:5">
      <c r="A101" s="8">
        <v>46113</v>
      </c>
      <c r="B101" t="s">
        <v>36</v>
      </c>
      <c r="C101">
        <v>14</v>
      </c>
      <c r="D101">
        <v>30</v>
      </c>
      <c r="E101" s="4">
        <v>46.67</v>
      </c>
    </row>
    <row r="102" spans="1:5">
      <c r="A102" s="8">
        <v>46113</v>
      </c>
      <c r="B102" t="s">
        <v>37</v>
      </c>
      <c r="C102">
        <v>6</v>
      </c>
      <c r="D102">
        <v>30</v>
      </c>
      <c r="E102" s="4">
        <v>20</v>
      </c>
    </row>
    <row r="103" spans="1:5">
      <c r="A103" s="8">
        <v>46174</v>
      </c>
      <c r="B103" t="s">
        <v>24</v>
      </c>
      <c r="C103">
        <v>13</v>
      </c>
      <c r="D103">
        <v>30</v>
      </c>
      <c r="E103" s="4">
        <v>43.33</v>
      </c>
    </row>
    <row r="104" spans="1:5">
      <c r="A104" s="8">
        <v>46174</v>
      </c>
      <c r="B104" t="s">
        <v>26</v>
      </c>
      <c r="C104">
        <v>12</v>
      </c>
      <c r="D104">
        <v>30</v>
      </c>
      <c r="E104" s="4">
        <v>40</v>
      </c>
    </row>
    <row r="105" spans="1:5">
      <c r="A105" s="8">
        <v>46174</v>
      </c>
      <c r="B105" t="s">
        <v>27</v>
      </c>
      <c r="C105">
        <v>19</v>
      </c>
      <c r="D105">
        <v>30</v>
      </c>
      <c r="E105" s="4">
        <v>63.33</v>
      </c>
    </row>
    <row r="106" spans="1:5">
      <c r="A106" s="8">
        <v>46174</v>
      </c>
      <c r="B106" t="s">
        <v>28</v>
      </c>
      <c r="C106">
        <v>7</v>
      </c>
      <c r="D106">
        <v>30</v>
      </c>
      <c r="E106" s="4">
        <v>23.33</v>
      </c>
    </row>
    <row r="107" spans="1:5">
      <c r="A107" s="8">
        <v>46174</v>
      </c>
      <c r="B107" t="s">
        <v>29</v>
      </c>
      <c r="C107">
        <v>14</v>
      </c>
      <c r="D107">
        <v>30</v>
      </c>
      <c r="E107" s="4">
        <v>46.67</v>
      </c>
    </row>
    <row r="108" spans="1:5">
      <c r="A108" s="8">
        <v>46174</v>
      </c>
      <c r="B108" t="s">
        <v>30</v>
      </c>
      <c r="C108">
        <v>17</v>
      </c>
      <c r="D108">
        <v>30</v>
      </c>
      <c r="E108" s="4">
        <v>56.67</v>
      </c>
    </row>
    <row r="109" spans="1:5">
      <c r="A109" s="8">
        <v>46174</v>
      </c>
      <c r="B109" t="s">
        <v>31</v>
      </c>
      <c r="C109">
        <v>12</v>
      </c>
      <c r="D109">
        <v>30</v>
      </c>
      <c r="E109" s="4">
        <v>40</v>
      </c>
    </row>
    <row r="110" spans="1:5">
      <c r="A110" s="8">
        <v>46174</v>
      </c>
      <c r="B110" t="s">
        <v>32</v>
      </c>
      <c r="C110">
        <v>13</v>
      </c>
      <c r="D110">
        <v>30</v>
      </c>
      <c r="E110" s="4">
        <v>43.33</v>
      </c>
    </row>
    <row r="111" spans="1:5">
      <c r="A111" s="8">
        <v>46174</v>
      </c>
      <c r="B111" t="s">
        <v>33</v>
      </c>
      <c r="C111">
        <v>18</v>
      </c>
      <c r="D111">
        <v>30</v>
      </c>
      <c r="E111" s="4">
        <v>60</v>
      </c>
    </row>
    <row r="112" spans="1:5">
      <c r="A112" s="8">
        <v>46174</v>
      </c>
      <c r="B112" t="s">
        <v>34</v>
      </c>
      <c r="C112">
        <v>17</v>
      </c>
      <c r="D112">
        <v>30</v>
      </c>
      <c r="E112" s="4">
        <v>56.67</v>
      </c>
    </row>
    <row r="113" spans="1:5">
      <c r="A113" s="8">
        <v>46174</v>
      </c>
      <c r="B113" t="s">
        <v>35</v>
      </c>
      <c r="C113">
        <v>14</v>
      </c>
      <c r="D113">
        <v>30</v>
      </c>
      <c r="E113" s="4">
        <v>46.67</v>
      </c>
    </row>
    <row r="114" spans="1:5">
      <c r="A114" s="8">
        <v>46174</v>
      </c>
      <c r="B114" t="s">
        <v>36</v>
      </c>
      <c r="C114">
        <v>17</v>
      </c>
      <c r="D114">
        <v>30</v>
      </c>
      <c r="E114" s="4">
        <v>56.67</v>
      </c>
    </row>
    <row r="115" spans="1:5">
      <c r="A115" s="8">
        <v>46174</v>
      </c>
      <c r="B115" t="s">
        <v>37</v>
      </c>
      <c r="C115">
        <v>12</v>
      </c>
      <c r="D115">
        <v>30</v>
      </c>
      <c r="E115" s="4">
        <v>40</v>
      </c>
    </row>
    <row r="116" spans="1:5">
      <c r="A116" s="8">
        <v>46266</v>
      </c>
      <c r="B116" t="s">
        <v>24</v>
      </c>
      <c r="C116">
        <v>11</v>
      </c>
      <c r="D116">
        <v>30</v>
      </c>
      <c r="E116" s="4">
        <v>36.67</v>
      </c>
    </row>
    <row r="117" spans="1:5">
      <c r="A117" s="8">
        <v>46266</v>
      </c>
      <c r="B117" t="s">
        <v>26</v>
      </c>
      <c r="C117">
        <v>19</v>
      </c>
      <c r="D117">
        <v>30</v>
      </c>
      <c r="E117" s="4">
        <v>63.33</v>
      </c>
    </row>
    <row r="118" spans="1:5">
      <c r="A118" s="8">
        <v>46266</v>
      </c>
      <c r="B118" t="s">
        <v>27</v>
      </c>
      <c r="C118">
        <v>13</v>
      </c>
      <c r="D118">
        <v>30</v>
      </c>
      <c r="E118" s="4">
        <v>43.33</v>
      </c>
    </row>
    <row r="119" spans="1:5">
      <c r="A119" s="8">
        <v>46266</v>
      </c>
      <c r="B119" t="s">
        <v>28</v>
      </c>
      <c r="C119">
        <v>21</v>
      </c>
      <c r="D119">
        <v>30</v>
      </c>
      <c r="E119" s="4">
        <v>70</v>
      </c>
    </row>
    <row r="120" spans="1:5">
      <c r="A120" s="8">
        <v>46266</v>
      </c>
      <c r="B120" t="s">
        <v>29</v>
      </c>
      <c r="C120">
        <v>14</v>
      </c>
      <c r="D120">
        <v>30</v>
      </c>
      <c r="E120" s="4">
        <v>46.67</v>
      </c>
    </row>
    <row r="121" spans="1:5">
      <c r="A121" s="8">
        <v>46266</v>
      </c>
      <c r="B121" t="s">
        <v>30</v>
      </c>
      <c r="C121">
        <v>11</v>
      </c>
      <c r="D121">
        <v>30</v>
      </c>
      <c r="E121" s="4">
        <v>36.67</v>
      </c>
    </row>
    <row r="122" spans="1:5">
      <c r="A122" s="8">
        <v>46266</v>
      </c>
      <c r="B122" t="s">
        <v>31</v>
      </c>
      <c r="C122">
        <v>16</v>
      </c>
      <c r="D122">
        <v>30</v>
      </c>
      <c r="E122" s="4">
        <v>53.33</v>
      </c>
    </row>
    <row r="123" spans="1:5">
      <c r="A123" s="8">
        <v>46266</v>
      </c>
      <c r="B123" t="s">
        <v>32</v>
      </c>
      <c r="C123">
        <v>13</v>
      </c>
      <c r="D123">
        <v>30</v>
      </c>
      <c r="E123" s="4">
        <v>43.33</v>
      </c>
    </row>
    <row r="124" spans="1:5">
      <c r="A124" s="8">
        <v>46266</v>
      </c>
      <c r="B124" t="s">
        <v>33</v>
      </c>
      <c r="C124">
        <v>16</v>
      </c>
      <c r="D124">
        <v>30</v>
      </c>
      <c r="E124" s="4">
        <v>53.33</v>
      </c>
    </row>
    <row r="125" spans="1:5">
      <c r="A125" s="8">
        <v>46266</v>
      </c>
      <c r="B125" t="s">
        <v>34</v>
      </c>
      <c r="C125">
        <v>12</v>
      </c>
      <c r="D125">
        <v>30</v>
      </c>
      <c r="E125" s="4">
        <v>40</v>
      </c>
    </row>
    <row r="126" spans="1:5">
      <c r="A126" s="8">
        <v>46266</v>
      </c>
      <c r="B126" t="s">
        <v>35</v>
      </c>
      <c r="C126">
        <v>14</v>
      </c>
      <c r="D126">
        <v>30</v>
      </c>
      <c r="E126" s="4">
        <v>46.67</v>
      </c>
    </row>
    <row r="127" spans="1:5">
      <c r="A127" s="8">
        <v>46266</v>
      </c>
      <c r="B127" t="s">
        <v>36</v>
      </c>
      <c r="C127">
        <v>17</v>
      </c>
      <c r="D127">
        <v>30</v>
      </c>
      <c r="E127" s="4">
        <v>56.67</v>
      </c>
    </row>
    <row r="128" spans="1:5">
      <c r="A128" s="8">
        <v>46266</v>
      </c>
      <c r="B128" t="s">
        <v>37</v>
      </c>
      <c r="C128">
        <v>9</v>
      </c>
      <c r="D128">
        <v>30</v>
      </c>
      <c r="E128" s="4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7"/>
  <sheetViews>
    <sheetView workbookViewId="0">
      <pane ySplit="1" topLeftCell="A229" activePane="bottomLeft" state="frozen"/>
      <selection pane="bottomLeft" activeCell="E3" sqref="E2:E265"/>
    </sheetView>
  </sheetViews>
  <sheetFormatPr defaultRowHeight="13.5"/>
  <cols>
    <col min="1" max="1" width="16.0625" bestFit="1" customWidth="1"/>
    <col min="2" max="2" width="16.8125" bestFit="1" customWidth="1"/>
    <col min="3" max="3" width="14.375" bestFit="1" customWidth="1"/>
    <col min="4" max="4" width="13" bestFit="1" customWidth="1"/>
    <col min="5" max="5" width="20.5625" bestFit="1" customWidth="1"/>
    <col min="6" max="6" width="23.125" bestFit="1" customWidth="1"/>
  </cols>
  <sheetData>
    <row r="1" spans="1:6" ht="13.9">
      <c r="A1" s="2" t="s">
        <v>39</v>
      </c>
      <c r="B1" s="2" t="s">
        <v>46</v>
      </c>
      <c r="C1" s="2" t="s">
        <v>50</v>
      </c>
      <c r="D1" s="2" t="s">
        <v>51</v>
      </c>
      <c r="E1" s="2" t="s">
        <v>52</v>
      </c>
      <c r="F1" s="2" t="s">
        <v>53</v>
      </c>
    </row>
    <row r="2" spans="1:6">
      <c r="A2" s="8">
        <v>46023</v>
      </c>
      <c r="B2" s="21" t="s">
        <v>26</v>
      </c>
      <c r="C2" s="21" t="s">
        <v>54</v>
      </c>
      <c r="D2">
        <v>7</v>
      </c>
      <c r="E2" s="3">
        <v>385.96</v>
      </c>
      <c r="F2">
        <v>1</v>
      </c>
    </row>
    <row r="3" spans="1:6">
      <c r="A3" s="8">
        <v>46023</v>
      </c>
      <c r="B3" s="21" t="s">
        <v>26</v>
      </c>
      <c r="C3" s="21" t="s">
        <v>56</v>
      </c>
      <c r="D3">
        <v>4</v>
      </c>
      <c r="E3" s="3">
        <v>202</v>
      </c>
      <c r="F3">
        <v>1</v>
      </c>
    </row>
    <row r="4" spans="1:6">
      <c r="A4" s="8">
        <v>46023</v>
      </c>
      <c r="B4" s="21" t="s">
        <v>28</v>
      </c>
      <c r="C4" s="21" t="s">
        <v>56</v>
      </c>
      <c r="D4">
        <v>2</v>
      </c>
      <c r="E4" s="3">
        <v>128</v>
      </c>
      <c r="F4">
        <v>1</v>
      </c>
    </row>
    <row r="5" spans="1:6">
      <c r="A5" s="8">
        <v>46023</v>
      </c>
      <c r="B5" s="21" t="s">
        <v>36</v>
      </c>
      <c r="C5" s="21" t="s">
        <v>54</v>
      </c>
      <c r="D5">
        <v>2</v>
      </c>
      <c r="E5" s="3">
        <v>138.4</v>
      </c>
      <c r="F5">
        <v>1</v>
      </c>
    </row>
    <row r="6" spans="1:6">
      <c r="A6" s="8">
        <v>46023</v>
      </c>
      <c r="B6" s="21" t="s">
        <v>37</v>
      </c>
      <c r="C6" s="21" t="s">
        <v>54</v>
      </c>
      <c r="D6">
        <v>1</v>
      </c>
      <c r="E6" s="3">
        <v>135.75</v>
      </c>
      <c r="F6">
        <v>1</v>
      </c>
    </row>
    <row r="7" spans="1:6">
      <c r="A7" s="8">
        <v>46054</v>
      </c>
      <c r="B7" s="21" t="s">
        <v>27</v>
      </c>
      <c r="C7" s="21" t="s">
        <v>54</v>
      </c>
      <c r="D7">
        <v>7</v>
      </c>
      <c r="E7" s="3">
        <v>513.79999999999995</v>
      </c>
      <c r="F7">
        <v>1</v>
      </c>
    </row>
    <row r="8" spans="1:6">
      <c r="A8" s="8">
        <v>46054</v>
      </c>
      <c r="B8" s="21" t="s">
        <v>31</v>
      </c>
      <c r="C8" s="21" t="s">
        <v>54</v>
      </c>
      <c r="D8">
        <v>5</v>
      </c>
      <c r="E8" s="3">
        <v>371.79</v>
      </c>
      <c r="F8">
        <v>1</v>
      </c>
    </row>
    <row r="9" spans="1:6">
      <c r="A9" s="8">
        <v>46054</v>
      </c>
      <c r="B9" s="21" t="s">
        <v>33</v>
      </c>
      <c r="C9" s="21" t="s">
        <v>54</v>
      </c>
      <c r="D9">
        <v>4</v>
      </c>
      <c r="E9" s="3">
        <v>253.92</v>
      </c>
      <c r="F9">
        <v>1</v>
      </c>
    </row>
    <row r="10" spans="1:6">
      <c r="A10" s="8">
        <v>46054</v>
      </c>
      <c r="B10" s="21" t="s">
        <v>35</v>
      </c>
      <c r="C10" s="21" t="s">
        <v>54</v>
      </c>
      <c r="D10">
        <v>1</v>
      </c>
      <c r="E10" s="3">
        <v>119</v>
      </c>
      <c r="F10">
        <v>1</v>
      </c>
    </row>
    <row r="11" spans="1:6">
      <c r="A11" s="8">
        <v>46054</v>
      </c>
      <c r="B11" s="21" t="s">
        <v>35</v>
      </c>
      <c r="C11" s="21" t="s">
        <v>55</v>
      </c>
      <c r="D11">
        <v>1</v>
      </c>
      <c r="E11" s="3">
        <v>99.2</v>
      </c>
      <c r="F11">
        <v>1</v>
      </c>
    </row>
    <row r="12" spans="1:6">
      <c r="A12" s="8">
        <v>46054</v>
      </c>
      <c r="B12" s="21" t="s">
        <v>36</v>
      </c>
      <c r="C12" s="21" t="s">
        <v>54</v>
      </c>
      <c r="D12">
        <v>2</v>
      </c>
      <c r="E12" s="3">
        <v>161</v>
      </c>
      <c r="F12">
        <v>1</v>
      </c>
    </row>
    <row r="13" spans="1:6">
      <c r="A13" s="8">
        <v>46054</v>
      </c>
      <c r="B13" s="21" t="s">
        <v>37</v>
      </c>
      <c r="C13" s="21" t="s">
        <v>54</v>
      </c>
      <c r="D13">
        <v>1</v>
      </c>
      <c r="E13" s="3">
        <v>131.15</v>
      </c>
      <c r="F13">
        <v>1</v>
      </c>
    </row>
    <row r="14" spans="1:6">
      <c r="A14" s="8">
        <v>46054</v>
      </c>
      <c r="B14" s="21" t="s">
        <v>37</v>
      </c>
      <c r="C14" s="21" t="s">
        <v>55</v>
      </c>
      <c r="D14">
        <v>1</v>
      </c>
      <c r="E14" s="3">
        <v>149</v>
      </c>
      <c r="F14">
        <v>1</v>
      </c>
    </row>
    <row r="15" spans="1:6">
      <c r="A15" s="8">
        <v>46082</v>
      </c>
      <c r="B15" s="21" t="s">
        <v>27</v>
      </c>
      <c r="C15" s="21" t="s">
        <v>55</v>
      </c>
      <c r="D15">
        <v>8</v>
      </c>
      <c r="E15" s="3">
        <v>521.20000000000005</v>
      </c>
      <c r="F15">
        <v>1</v>
      </c>
    </row>
    <row r="16" spans="1:6">
      <c r="A16" s="8">
        <v>46082</v>
      </c>
      <c r="B16" s="21" t="s">
        <v>27</v>
      </c>
      <c r="C16" s="21" t="s">
        <v>56</v>
      </c>
      <c r="D16">
        <v>10</v>
      </c>
      <c r="E16" s="3">
        <v>715</v>
      </c>
      <c r="F16">
        <v>1</v>
      </c>
    </row>
    <row r="17" spans="1:6">
      <c r="A17" s="8">
        <v>46082</v>
      </c>
      <c r="B17" s="21" t="s">
        <v>30</v>
      </c>
      <c r="C17" s="21" t="s">
        <v>54</v>
      </c>
      <c r="D17">
        <v>2</v>
      </c>
      <c r="E17" s="3">
        <v>187</v>
      </c>
      <c r="F17">
        <v>1</v>
      </c>
    </row>
    <row r="18" spans="1:6">
      <c r="A18" s="8">
        <v>46082</v>
      </c>
      <c r="B18" s="21" t="s">
        <v>31</v>
      </c>
      <c r="C18" s="21" t="s">
        <v>54</v>
      </c>
      <c r="D18">
        <v>1</v>
      </c>
      <c r="E18" s="3">
        <v>74.36</v>
      </c>
      <c r="F18">
        <v>1</v>
      </c>
    </row>
    <row r="19" spans="1:6">
      <c r="A19" s="8">
        <v>46082</v>
      </c>
      <c r="B19" s="21" t="s">
        <v>31</v>
      </c>
      <c r="C19" s="21" t="s">
        <v>56</v>
      </c>
      <c r="D19">
        <v>2</v>
      </c>
      <c r="E19" s="3">
        <v>232</v>
      </c>
      <c r="F19">
        <v>1</v>
      </c>
    </row>
    <row r="20" spans="1:6">
      <c r="A20" s="8">
        <v>46082</v>
      </c>
      <c r="B20" s="21" t="s">
        <v>33</v>
      </c>
      <c r="C20" s="21" t="s">
        <v>54</v>
      </c>
      <c r="D20">
        <v>12</v>
      </c>
      <c r="E20" s="3">
        <v>717.8</v>
      </c>
      <c r="F20">
        <v>1</v>
      </c>
    </row>
    <row r="21" spans="1:6">
      <c r="A21" s="8">
        <v>46082</v>
      </c>
      <c r="B21" s="21" t="s">
        <v>35</v>
      </c>
      <c r="C21" s="21" t="s">
        <v>54</v>
      </c>
      <c r="D21">
        <v>2</v>
      </c>
      <c r="E21" s="3">
        <v>187</v>
      </c>
      <c r="F21">
        <v>1</v>
      </c>
    </row>
    <row r="22" spans="1:6">
      <c r="A22" s="8">
        <v>46082</v>
      </c>
      <c r="B22" s="21" t="s">
        <v>35</v>
      </c>
      <c r="C22" s="21" t="s">
        <v>56</v>
      </c>
      <c r="D22">
        <v>7</v>
      </c>
      <c r="E22" s="3">
        <v>423.86</v>
      </c>
      <c r="F22">
        <v>1</v>
      </c>
    </row>
    <row r="23" spans="1:6">
      <c r="A23" s="8">
        <v>46082</v>
      </c>
      <c r="B23" s="21" t="s">
        <v>37</v>
      </c>
      <c r="C23" s="21" t="s">
        <v>56</v>
      </c>
      <c r="D23">
        <v>4</v>
      </c>
      <c r="E23" s="3">
        <v>335</v>
      </c>
      <c r="F23">
        <v>1</v>
      </c>
    </row>
    <row r="24" spans="1:6">
      <c r="A24" s="8">
        <v>46113</v>
      </c>
      <c r="B24" s="21" t="s">
        <v>27</v>
      </c>
      <c r="C24" s="21" t="s">
        <v>54</v>
      </c>
      <c r="D24">
        <v>6</v>
      </c>
      <c r="E24" s="3">
        <v>501.8</v>
      </c>
      <c r="F24">
        <v>1</v>
      </c>
    </row>
    <row r="25" spans="1:6">
      <c r="A25" s="8">
        <v>46113</v>
      </c>
      <c r="B25" s="21" t="s">
        <v>28</v>
      </c>
      <c r="C25" s="21" t="s">
        <v>54</v>
      </c>
      <c r="D25">
        <v>3</v>
      </c>
      <c r="E25" s="3">
        <v>405.05</v>
      </c>
      <c r="F25">
        <v>1</v>
      </c>
    </row>
    <row r="26" spans="1:6">
      <c r="A26" s="8">
        <v>46113</v>
      </c>
      <c r="B26" s="21" t="s">
        <v>32</v>
      </c>
      <c r="C26" s="21" t="s">
        <v>54</v>
      </c>
      <c r="D26">
        <v>1</v>
      </c>
      <c r="E26" s="3">
        <v>134</v>
      </c>
      <c r="F26">
        <v>1</v>
      </c>
    </row>
    <row r="27" spans="1:6">
      <c r="A27" s="8">
        <v>46113</v>
      </c>
      <c r="B27" s="21" t="s">
        <v>32</v>
      </c>
      <c r="C27" s="21" t="s">
        <v>56</v>
      </c>
      <c r="D27">
        <v>1</v>
      </c>
      <c r="E27" s="3">
        <v>125</v>
      </c>
      <c r="F27">
        <v>1</v>
      </c>
    </row>
    <row r="28" spans="1:6">
      <c r="A28" s="8">
        <v>46113</v>
      </c>
      <c r="B28" s="21" t="s">
        <v>33</v>
      </c>
      <c r="C28" s="21" t="s">
        <v>54</v>
      </c>
      <c r="D28">
        <v>6</v>
      </c>
      <c r="E28" s="3">
        <v>448.5</v>
      </c>
      <c r="F28">
        <v>1</v>
      </c>
    </row>
    <row r="29" spans="1:6">
      <c r="A29" s="8">
        <v>46113</v>
      </c>
      <c r="B29" s="21" t="s">
        <v>34</v>
      </c>
      <c r="C29" s="21" t="s">
        <v>55</v>
      </c>
      <c r="D29">
        <v>2</v>
      </c>
      <c r="E29" s="3">
        <v>230.5</v>
      </c>
      <c r="F29">
        <v>1</v>
      </c>
    </row>
    <row r="30" spans="1:6">
      <c r="A30" s="8">
        <v>46113</v>
      </c>
      <c r="B30" s="21" t="s">
        <v>34</v>
      </c>
      <c r="C30" s="21" t="s">
        <v>56</v>
      </c>
      <c r="D30">
        <v>3</v>
      </c>
      <c r="E30" s="3">
        <v>294.5</v>
      </c>
      <c r="F30">
        <v>1</v>
      </c>
    </row>
    <row r="31" spans="1:6">
      <c r="A31" s="8">
        <v>46113</v>
      </c>
      <c r="B31" s="21" t="s">
        <v>35</v>
      </c>
      <c r="C31" s="21" t="s">
        <v>54</v>
      </c>
      <c r="D31">
        <v>5</v>
      </c>
      <c r="E31" s="3">
        <v>503.84</v>
      </c>
      <c r="F31">
        <v>1</v>
      </c>
    </row>
    <row r="32" spans="1:6">
      <c r="A32" s="8">
        <v>46113</v>
      </c>
      <c r="B32" s="21" t="s">
        <v>35</v>
      </c>
      <c r="C32" s="21" t="s">
        <v>55</v>
      </c>
      <c r="D32">
        <v>1</v>
      </c>
      <c r="E32" s="3">
        <v>131.30000000000001</v>
      </c>
      <c r="F32">
        <v>1</v>
      </c>
    </row>
    <row r="33" spans="1:6">
      <c r="A33" s="8">
        <v>46113</v>
      </c>
      <c r="B33" s="21" t="s">
        <v>35</v>
      </c>
      <c r="C33" s="21" t="s">
        <v>56</v>
      </c>
      <c r="D33">
        <v>22</v>
      </c>
      <c r="E33" s="3">
        <v>1332.14</v>
      </c>
      <c r="F33">
        <v>1</v>
      </c>
    </row>
    <row r="34" spans="1:6">
      <c r="A34" s="8">
        <v>46113</v>
      </c>
      <c r="B34" s="21" t="s">
        <v>37</v>
      </c>
      <c r="C34" s="21" t="s">
        <v>54</v>
      </c>
      <c r="D34">
        <v>1</v>
      </c>
      <c r="E34" s="3">
        <v>194</v>
      </c>
      <c r="F34">
        <v>1</v>
      </c>
    </row>
    <row r="35" spans="1:6">
      <c r="A35" s="8">
        <v>46143</v>
      </c>
      <c r="B35" s="21" t="s">
        <v>26</v>
      </c>
      <c r="C35" s="21" t="s">
        <v>56</v>
      </c>
      <c r="D35">
        <v>8</v>
      </c>
      <c r="E35" s="3">
        <v>520</v>
      </c>
      <c r="F35">
        <v>1</v>
      </c>
    </row>
    <row r="36" spans="1:6">
      <c r="A36" s="8">
        <v>46143</v>
      </c>
      <c r="B36" s="21" t="s">
        <v>30</v>
      </c>
      <c r="C36" s="21" t="s">
        <v>56</v>
      </c>
      <c r="D36">
        <v>4</v>
      </c>
      <c r="E36" s="3">
        <v>337</v>
      </c>
      <c r="F36">
        <v>1</v>
      </c>
    </row>
    <row r="37" spans="1:6">
      <c r="A37" s="8">
        <v>46143</v>
      </c>
      <c r="B37" s="21" t="s">
        <v>30</v>
      </c>
      <c r="C37" s="21" t="s">
        <v>57</v>
      </c>
      <c r="D37">
        <v>2</v>
      </c>
      <c r="E37" s="3">
        <v>278</v>
      </c>
      <c r="F37">
        <v>1</v>
      </c>
    </row>
    <row r="38" spans="1:6">
      <c r="A38" s="8">
        <v>46143</v>
      </c>
      <c r="B38" s="21" t="s">
        <v>31</v>
      </c>
      <c r="C38" s="21" t="s">
        <v>56</v>
      </c>
      <c r="D38">
        <v>2</v>
      </c>
      <c r="E38" s="3">
        <v>206</v>
      </c>
      <c r="F38">
        <v>1</v>
      </c>
    </row>
    <row r="39" spans="1:6">
      <c r="A39" s="8">
        <v>46174</v>
      </c>
      <c r="B39" s="21" t="s">
        <v>27</v>
      </c>
      <c r="C39" s="21" t="s">
        <v>54</v>
      </c>
      <c r="D39">
        <v>7</v>
      </c>
      <c r="E39" s="3">
        <v>708.44</v>
      </c>
      <c r="F39">
        <v>1</v>
      </c>
    </row>
    <row r="40" spans="1:6">
      <c r="A40" s="8">
        <v>46174</v>
      </c>
      <c r="B40" s="21" t="s">
        <v>30</v>
      </c>
      <c r="C40" s="21" t="s">
        <v>54</v>
      </c>
      <c r="D40">
        <v>3</v>
      </c>
      <c r="E40" s="3">
        <v>319.39999999999998</v>
      </c>
      <c r="F40">
        <v>1</v>
      </c>
    </row>
    <row r="41" spans="1:6">
      <c r="A41" s="8">
        <v>46174</v>
      </c>
      <c r="B41" s="21" t="s">
        <v>30</v>
      </c>
      <c r="C41" s="21" t="s">
        <v>56</v>
      </c>
      <c r="D41">
        <v>1</v>
      </c>
      <c r="E41" s="3">
        <v>115</v>
      </c>
      <c r="F41">
        <v>1</v>
      </c>
    </row>
    <row r="42" spans="1:6">
      <c r="A42" s="8">
        <v>46174</v>
      </c>
      <c r="B42" s="21" t="s">
        <v>31</v>
      </c>
      <c r="C42" s="21" t="s">
        <v>54</v>
      </c>
      <c r="D42">
        <v>4</v>
      </c>
      <c r="E42" s="3">
        <v>397.4</v>
      </c>
      <c r="F42">
        <v>1</v>
      </c>
    </row>
    <row r="43" spans="1:6">
      <c r="A43" s="8">
        <v>46174</v>
      </c>
      <c r="B43" s="21" t="s">
        <v>34</v>
      </c>
      <c r="C43" s="21" t="s">
        <v>54</v>
      </c>
      <c r="D43">
        <v>1</v>
      </c>
      <c r="E43" s="3">
        <v>128</v>
      </c>
      <c r="F43">
        <v>1</v>
      </c>
    </row>
    <row r="44" spans="1:6">
      <c r="A44" s="8">
        <v>46174</v>
      </c>
      <c r="B44" s="21" t="s">
        <v>35</v>
      </c>
      <c r="C44" s="21" t="s">
        <v>54</v>
      </c>
      <c r="D44">
        <v>1</v>
      </c>
      <c r="E44" s="3">
        <v>140</v>
      </c>
      <c r="F44">
        <v>1</v>
      </c>
    </row>
    <row r="45" spans="1:6">
      <c r="A45" s="8">
        <v>46204</v>
      </c>
      <c r="B45" s="21" t="s">
        <v>26</v>
      </c>
      <c r="C45" s="21" t="s">
        <v>54</v>
      </c>
      <c r="D45">
        <v>1</v>
      </c>
      <c r="E45" s="3">
        <v>188.9</v>
      </c>
      <c r="F45">
        <v>1</v>
      </c>
    </row>
    <row r="46" spans="1:6">
      <c r="A46" s="8">
        <v>46204</v>
      </c>
      <c r="B46" s="21" t="s">
        <v>29</v>
      </c>
      <c r="C46" s="21" t="s">
        <v>56</v>
      </c>
      <c r="D46">
        <v>4</v>
      </c>
      <c r="E46" s="3">
        <v>482</v>
      </c>
      <c r="F46">
        <v>1</v>
      </c>
    </row>
    <row r="47" spans="1:6">
      <c r="A47" s="8">
        <v>46204</v>
      </c>
      <c r="B47" s="21" t="s">
        <v>32</v>
      </c>
      <c r="C47" s="21" t="s">
        <v>54</v>
      </c>
      <c r="D47">
        <v>1</v>
      </c>
      <c r="E47" s="3">
        <v>103.58</v>
      </c>
      <c r="F47">
        <v>1</v>
      </c>
    </row>
    <row r="48" spans="1:6">
      <c r="A48" s="8">
        <v>46204</v>
      </c>
      <c r="B48" s="21" t="s">
        <v>32</v>
      </c>
      <c r="C48" s="21" t="s">
        <v>56</v>
      </c>
      <c r="D48">
        <v>2</v>
      </c>
      <c r="E48" s="3">
        <v>309</v>
      </c>
      <c r="F48">
        <v>1</v>
      </c>
    </row>
    <row r="49" spans="1:6">
      <c r="A49" s="8">
        <v>46204</v>
      </c>
      <c r="B49" s="21" t="s">
        <v>33</v>
      </c>
      <c r="C49" s="21" t="s">
        <v>56</v>
      </c>
      <c r="D49">
        <v>2</v>
      </c>
      <c r="E49" s="3">
        <v>309</v>
      </c>
      <c r="F49">
        <v>1</v>
      </c>
    </row>
    <row r="50" spans="1:6">
      <c r="A50" s="8">
        <v>46204</v>
      </c>
      <c r="B50" s="21" t="s">
        <v>36</v>
      </c>
      <c r="C50" s="21" t="s">
        <v>56</v>
      </c>
      <c r="D50">
        <v>2</v>
      </c>
      <c r="E50" s="3">
        <v>309</v>
      </c>
      <c r="F50">
        <v>1</v>
      </c>
    </row>
    <row r="51" spans="1:6">
      <c r="A51" s="8">
        <v>46235</v>
      </c>
      <c r="B51" s="21" t="s">
        <v>26</v>
      </c>
      <c r="C51" s="21" t="s">
        <v>56</v>
      </c>
      <c r="D51">
        <v>1</v>
      </c>
      <c r="E51" s="3">
        <v>94</v>
      </c>
      <c r="F51">
        <v>1</v>
      </c>
    </row>
    <row r="52" spans="1:6">
      <c r="A52" s="8">
        <v>46235</v>
      </c>
      <c r="B52" s="21" t="s">
        <v>30</v>
      </c>
      <c r="C52" s="21" t="s">
        <v>54</v>
      </c>
      <c r="D52">
        <v>6</v>
      </c>
      <c r="E52" s="3">
        <v>867.8</v>
      </c>
      <c r="F52">
        <v>1</v>
      </c>
    </row>
    <row r="53" spans="1:6">
      <c r="A53" s="8">
        <v>46235</v>
      </c>
      <c r="B53" s="21" t="s">
        <v>31</v>
      </c>
      <c r="C53" s="21" t="s">
        <v>56</v>
      </c>
      <c r="D53">
        <v>11</v>
      </c>
      <c r="E53" s="3">
        <v>1462</v>
      </c>
      <c r="F53">
        <v>1</v>
      </c>
    </row>
    <row r="54" spans="1:6">
      <c r="A54" s="8">
        <v>46235</v>
      </c>
      <c r="B54" s="21" t="s">
        <v>33</v>
      </c>
      <c r="C54" s="21" t="s">
        <v>54</v>
      </c>
      <c r="D54">
        <v>2</v>
      </c>
      <c r="E54" s="3">
        <v>258.12</v>
      </c>
      <c r="F54">
        <v>1</v>
      </c>
    </row>
    <row r="55" spans="1:6">
      <c r="A55" s="8">
        <v>46266</v>
      </c>
      <c r="B55" s="21" t="s">
        <v>26</v>
      </c>
      <c r="C55" s="21" t="s">
        <v>56</v>
      </c>
      <c r="D55">
        <v>7</v>
      </c>
      <c r="E55" s="3">
        <v>658</v>
      </c>
      <c r="F55">
        <v>1</v>
      </c>
    </row>
    <row r="56" spans="1:6">
      <c r="A56" s="8">
        <v>46266</v>
      </c>
      <c r="B56" s="21" t="s">
        <v>27</v>
      </c>
      <c r="C56" s="21" t="s">
        <v>54</v>
      </c>
      <c r="D56">
        <v>1</v>
      </c>
      <c r="E56" s="3">
        <v>142</v>
      </c>
      <c r="F56">
        <v>1</v>
      </c>
    </row>
    <row r="57" spans="1:6">
      <c r="A57" s="8">
        <v>46266</v>
      </c>
      <c r="B57" s="21" t="s">
        <v>33</v>
      </c>
      <c r="C57" s="21" t="s">
        <v>56</v>
      </c>
      <c r="D57">
        <v>2</v>
      </c>
      <c r="E57" s="3">
        <v>198</v>
      </c>
      <c r="F57">
        <v>1</v>
      </c>
    </row>
    <row r="58" spans="1:6">
      <c r="A58" s="8">
        <v>46266</v>
      </c>
      <c r="B58" s="21" t="s">
        <v>35</v>
      </c>
      <c r="C58" s="21" t="s">
        <v>54</v>
      </c>
      <c r="D58">
        <v>1</v>
      </c>
      <c r="E58" s="3">
        <v>164.5</v>
      </c>
      <c r="F58">
        <v>1</v>
      </c>
    </row>
    <row r="59" spans="1:6">
      <c r="A59" s="8">
        <v>46266</v>
      </c>
      <c r="B59" s="21" t="s">
        <v>36</v>
      </c>
      <c r="C59" s="21" t="s">
        <v>54</v>
      </c>
      <c r="D59">
        <v>2</v>
      </c>
      <c r="E59" s="3">
        <v>168.14</v>
      </c>
      <c r="F59">
        <v>1</v>
      </c>
    </row>
    <row r="60" spans="1:6">
      <c r="A60" s="8">
        <v>46266</v>
      </c>
      <c r="B60" s="21" t="s">
        <v>37</v>
      </c>
      <c r="C60" s="21" t="s">
        <v>56</v>
      </c>
      <c r="D60">
        <v>1</v>
      </c>
      <c r="E60" s="3">
        <v>178</v>
      </c>
      <c r="F60">
        <v>1</v>
      </c>
    </row>
    <row r="61" spans="1:6">
      <c r="A61" s="8">
        <v>46296</v>
      </c>
      <c r="B61" s="21" t="s">
        <v>26</v>
      </c>
      <c r="C61" s="21" t="s">
        <v>54</v>
      </c>
      <c r="D61">
        <v>1</v>
      </c>
      <c r="E61" s="3">
        <v>126.3</v>
      </c>
      <c r="F61">
        <v>1</v>
      </c>
    </row>
    <row r="62" spans="1:6">
      <c r="A62" s="8">
        <v>46296</v>
      </c>
      <c r="B62" s="21" t="s">
        <v>28</v>
      </c>
      <c r="C62" s="21" t="s">
        <v>54</v>
      </c>
      <c r="D62">
        <v>1</v>
      </c>
      <c r="E62" s="3">
        <v>131.4</v>
      </c>
      <c r="F62">
        <v>1</v>
      </c>
    </row>
    <row r="63" spans="1:6">
      <c r="A63" s="8">
        <v>46296</v>
      </c>
      <c r="B63" s="21" t="s">
        <v>28</v>
      </c>
      <c r="C63" s="21" t="s">
        <v>56</v>
      </c>
      <c r="D63">
        <v>4</v>
      </c>
      <c r="E63" s="3">
        <v>452</v>
      </c>
      <c r="F63">
        <v>1</v>
      </c>
    </row>
    <row r="64" spans="1:6">
      <c r="A64" s="8">
        <v>46296</v>
      </c>
      <c r="B64" s="21" t="s">
        <v>29</v>
      </c>
      <c r="C64" s="21" t="s">
        <v>56</v>
      </c>
      <c r="D64">
        <v>3</v>
      </c>
      <c r="E64" s="3">
        <v>436</v>
      </c>
      <c r="F64">
        <v>1</v>
      </c>
    </row>
    <row r="65" spans="1:6">
      <c r="A65" s="8">
        <v>46296</v>
      </c>
      <c r="B65" s="21" t="s">
        <v>29</v>
      </c>
      <c r="C65" s="21" t="s">
        <v>57</v>
      </c>
      <c r="D65">
        <v>1</v>
      </c>
      <c r="E65" s="3">
        <v>173</v>
      </c>
      <c r="F65">
        <v>1</v>
      </c>
    </row>
    <row r="66" spans="1:6">
      <c r="A66" s="8">
        <v>46296</v>
      </c>
      <c r="B66" s="21" t="s">
        <v>35</v>
      </c>
      <c r="C66" s="21" t="s">
        <v>54</v>
      </c>
      <c r="D66">
        <v>3</v>
      </c>
      <c r="E66" s="3">
        <v>269.25</v>
      </c>
      <c r="F66">
        <v>1</v>
      </c>
    </row>
    <row r="67" spans="1:6">
      <c r="A67" s="8">
        <v>46296</v>
      </c>
      <c r="B67" s="21" t="s">
        <v>37</v>
      </c>
      <c r="C67" s="21" t="s">
        <v>54</v>
      </c>
      <c r="D67">
        <v>5</v>
      </c>
      <c r="E67" s="3">
        <v>587.94000000000005</v>
      </c>
      <c r="F67">
        <v>1</v>
      </c>
    </row>
    <row r="68" spans="1:6">
      <c r="A68" s="8">
        <v>46143</v>
      </c>
      <c r="B68" s="21" t="s">
        <v>32</v>
      </c>
      <c r="C68" s="21" t="s">
        <v>56</v>
      </c>
      <c r="D68">
        <v>5</v>
      </c>
      <c r="E68" s="3">
        <v>440.5</v>
      </c>
      <c r="F68">
        <v>2</v>
      </c>
    </row>
    <row r="69" spans="1:6">
      <c r="A69" s="8">
        <v>46143</v>
      </c>
      <c r="B69" s="21" t="s">
        <v>35</v>
      </c>
      <c r="C69" s="21" t="s">
        <v>56</v>
      </c>
      <c r="D69">
        <v>5</v>
      </c>
      <c r="E69" s="3">
        <v>451</v>
      </c>
      <c r="F69">
        <v>2</v>
      </c>
    </row>
    <row r="70" spans="1:6">
      <c r="A70" s="8">
        <v>46174</v>
      </c>
      <c r="B70" s="21" t="s">
        <v>31</v>
      </c>
      <c r="C70" s="21" t="s">
        <v>56</v>
      </c>
      <c r="D70">
        <v>4</v>
      </c>
      <c r="E70" s="3">
        <v>417</v>
      </c>
      <c r="F70">
        <v>2</v>
      </c>
    </row>
    <row r="71" spans="1:6">
      <c r="A71" s="8">
        <v>46204</v>
      </c>
      <c r="B71" s="21" t="s">
        <v>34</v>
      </c>
      <c r="C71" s="21" t="s">
        <v>56</v>
      </c>
      <c r="D71">
        <v>3</v>
      </c>
      <c r="E71" s="3">
        <v>429</v>
      </c>
      <c r="F71">
        <v>2</v>
      </c>
    </row>
    <row r="72" spans="1:6">
      <c r="A72" s="8">
        <v>46023</v>
      </c>
      <c r="B72" s="21" t="s">
        <v>24</v>
      </c>
      <c r="C72" s="21" t="s">
        <v>54</v>
      </c>
      <c r="D72">
        <v>9</v>
      </c>
      <c r="E72" s="3">
        <v>1204.73</v>
      </c>
      <c r="F72">
        <v>4</v>
      </c>
    </row>
    <row r="73" spans="1:6">
      <c r="A73" s="8">
        <v>46023</v>
      </c>
      <c r="B73" s="21" t="s">
        <v>27</v>
      </c>
      <c r="C73" s="21" t="s">
        <v>54</v>
      </c>
      <c r="D73">
        <v>17</v>
      </c>
      <c r="E73" s="3">
        <v>1255.98</v>
      </c>
      <c r="F73">
        <v>5</v>
      </c>
    </row>
    <row r="74" spans="1:6">
      <c r="A74" s="8">
        <v>46023</v>
      </c>
      <c r="B74" s="21" t="s">
        <v>29</v>
      </c>
      <c r="C74" s="21" t="s">
        <v>54</v>
      </c>
      <c r="D74">
        <v>15</v>
      </c>
      <c r="E74" s="3">
        <v>1975.16</v>
      </c>
      <c r="F74">
        <v>9</v>
      </c>
    </row>
    <row r="75" spans="1:6">
      <c r="A75" s="8">
        <v>46023</v>
      </c>
      <c r="B75" s="21" t="s">
        <v>32</v>
      </c>
      <c r="C75" s="21" t="s">
        <v>54</v>
      </c>
      <c r="D75">
        <v>4</v>
      </c>
      <c r="E75" s="3">
        <v>330.5</v>
      </c>
      <c r="F75">
        <v>2</v>
      </c>
    </row>
    <row r="76" spans="1:6">
      <c r="A76" s="8">
        <v>46023</v>
      </c>
      <c r="B76" s="21" t="s">
        <v>33</v>
      </c>
      <c r="C76" s="21" t="s">
        <v>54</v>
      </c>
      <c r="D76">
        <v>3</v>
      </c>
      <c r="E76" s="3">
        <v>192.98</v>
      </c>
      <c r="F76">
        <v>2</v>
      </c>
    </row>
    <row r="77" spans="1:6">
      <c r="A77" s="8">
        <v>46023</v>
      </c>
      <c r="B77" s="21" t="s">
        <v>35</v>
      </c>
      <c r="C77" s="21" t="s">
        <v>54</v>
      </c>
      <c r="D77">
        <v>9</v>
      </c>
      <c r="E77" s="3">
        <v>538.82000000000005</v>
      </c>
      <c r="F77">
        <v>2</v>
      </c>
    </row>
    <row r="78" spans="1:6">
      <c r="A78" s="8">
        <v>46054</v>
      </c>
      <c r="B78" s="21" t="s">
        <v>24</v>
      </c>
      <c r="C78" s="21" t="s">
        <v>54</v>
      </c>
      <c r="D78">
        <v>4</v>
      </c>
      <c r="E78" s="3">
        <v>560</v>
      </c>
      <c r="F78">
        <v>4</v>
      </c>
    </row>
    <row r="79" spans="1:6">
      <c r="A79" s="8">
        <v>46054</v>
      </c>
      <c r="B79" s="21" t="s">
        <v>26</v>
      </c>
      <c r="C79" s="21" t="s">
        <v>54</v>
      </c>
      <c r="D79">
        <v>7</v>
      </c>
      <c r="E79" s="3">
        <v>556.6</v>
      </c>
      <c r="F79">
        <v>2</v>
      </c>
    </row>
    <row r="80" spans="1:6">
      <c r="A80" s="8">
        <v>46054</v>
      </c>
      <c r="B80" s="21" t="s">
        <v>28</v>
      </c>
      <c r="C80" s="21" t="s">
        <v>54</v>
      </c>
      <c r="D80">
        <v>2</v>
      </c>
      <c r="E80" s="3">
        <v>297.7</v>
      </c>
      <c r="F80">
        <v>2</v>
      </c>
    </row>
    <row r="81" spans="1:6">
      <c r="A81" s="8">
        <v>46054</v>
      </c>
      <c r="B81" s="21" t="s">
        <v>29</v>
      </c>
      <c r="C81" s="21" t="s">
        <v>54</v>
      </c>
      <c r="D81">
        <v>7</v>
      </c>
      <c r="E81" s="3">
        <v>974.43</v>
      </c>
      <c r="F81">
        <v>6</v>
      </c>
    </row>
    <row r="82" spans="1:6">
      <c r="A82" s="8">
        <v>46054</v>
      </c>
      <c r="B82" s="21" t="s">
        <v>32</v>
      </c>
      <c r="C82" s="21" t="s">
        <v>54</v>
      </c>
      <c r="D82">
        <v>7</v>
      </c>
      <c r="E82" s="3">
        <v>633.45000000000005</v>
      </c>
      <c r="F82">
        <v>3</v>
      </c>
    </row>
    <row r="83" spans="1:6">
      <c r="A83" s="8">
        <v>46082</v>
      </c>
      <c r="B83" s="21" t="s">
        <v>24</v>
      </c>
      <c r="C83" s="21" t="s">
        <v>54</v>
      </c>
      <c r="D83">
        <v>5</v>
      </c>
      <c r="E83" s="3">
        <v>627.15</v>
      </c>
      <c r="F83">
        <v>3</v>
      </c>
    </row>
    <row r="84" spans="1:6">
      <c r="A84" s="8">
        <v>46082</v>
      </c>
      <c r="B84" s="21" t="s">
        <v>26</v>
      </c>
      <c r="C84" s="21" t="s">
        <v>54</v>
      </c>
      <c r="D84">
        <v>6</v>
      </c>
      <c r="E84" s="3">
        <v>498.4</v>
      </c>
      <c r="F84">
        <v>2</v>
      </c>
    </row>
    <row r="85" spans="1:6">
      <c r="A85" s="8">
        <v>46082</v>
      </c>
      <c r="B85" s="21" t="s">
        <v>28</v>
      </c>
      <c r="C85" s="21" t="s">
        <v>54</v>
      </c>
      <c r="D85">
        <v>2</v>
      </c>
      <c r="E85" s="3">
        <v>280</v>
      </c>
      <c r="F85">
        <v>2</v>
      </c>
    </row>
    <row r="86" spans="1:6">
      <c r="A86" s="8">
        <v>46082</v>
      </c>
      <c r="B86" s="21" t="s">
        <v>29</v>
      </c>
      <c r="C86" s="21" t="s">
        <v>54</v>
      </c>
      <c r="D86">
        <v>16</v>
      </c>
      <c r="E86" s="3">
        <v>1942.85</v>
      </c>
      <c r="F86">
        <v>6</v>
      </c>
    </row>
    <row r="87" spans="1:6">
      <c r="A87" s="8">
        <v>46082</v>
      </c>
      <c r="B87" s="21" t="s">
        <v>32</v>
      </c>
      <c r="C87" s="21" t="s">
        <v>54</v>
      </c>
      <c r="D87">
        <v>8</v>
      </c>
      <c r="E87" s="3">
        <v>553.45000000000005</v>
      </c>
      <c r="F87">
        <v>2</v>
      </c>
    </row>
    <row r="88" spans="1:6">
      <c r="A88" s="8">
        <v>46082</v>
      </c>
      <c r="B88" s="21" t="s">
        <v>36</v>
      </c>
      <c r="C88" s="21" t="s">
        <v>54</v>
      </c>
      <c r="D88">
        <v>10</v>
      </c>
      <c r="E88" s="3">
        <v>848.35</v>
      </c>
      <c r="F88">
        <v>6</v>
      </c>
    </row>
    <row r="89" spans="1:6">
      <c r="A89" s="8">
        <v>46113</v>
      </c>
      <c r="B89" s="21" t="s">
        <v>24</v>
      </c>
      <c r="C89" s="21" t="s">
        <v>54</v>
      </c>
      <c r="D89">
        <v>14</v>
      </c>
      <c r="E89" s="3">
        <v>1899</v>
      </c>
      <c r="F89">
        <v>5</v>
      </c>
    </row>
    <row r="90" spans="1:6">
      <c r="A90" s="8">
        <v>46113</v>
      </c>
      <c r="B90" s="21" t="s">
        <v>26</v>
      </c>
      <c r="C90" s="21" t="s">
        <v>54</v>
      </c>
      <c r="D90">
        <v>7</v>
      </c>
      <c r="E90" s="3">
        <v>716.9</v>
      </c>
      <c r="F90">
        <v>2</v>
      </c>
    </row>
    <row r="91" spans="1:6">
      <c r="A91" s="8">
        <v>46113</v>
      </c>
      <c r="B91" s="21" t="s">
        <v>29</v>
      </c>
      <c r="C91" s="21" t="s">
        <v>54</v>
      </c>
      <c r="D91">
        <v>11</v>
      </c>
      <c r="E91" s="3">
        <v>1750.55</v>
      </c>
      <c r="F91">
        <v>7</v>
      </c>
    </row>
    <row r="92" spans="1:6">
      <c r="A92" s="8">
        <v>46113</v>
      </c>
      <c r="B92" s="21" t="s">
        <v>30</v>
      </c>
      <c r="C92" s="21" t="s">
        <v>54</v>
      </c>
      <c r="D92">
        <v>8</v>
      </c>
      <c r="E92" s="3">
        <v>851.11</v>
      </c>
      <c r="F92">
        <v>3</v>
      </c>
    </row>
    <row r="93" spans="1:6">
      <c r="A93" s="8">
        <v>46113</v>
      </c>
      <c r="B93" s="21" t="s">
        <v>34</v>
      </c>
      <c r="C93" s="21" t="s">
        <v>54</v>
      </c>
      <c r="D93">
        <v>4</v>
      </c>
      <c r="E93" s="3">
        <v>453.4</v>
      </c>
      <c r="F93">
        <v>2</v>
      </c>
    </row>
    <row r="94" spans="1:6">
      <c r="A94" s="8">
        <v>46113</v>
      </c>
      <c r="B94" s="21" t="s">
        <v>36</v>
      </c>
      <c r="C94" s="21" t="s">
        <v>54</v>
      </c>
      <c r="D94">
        <v>16</v>
      </c>
      <c r="E94" s="3">
        <v>1680.2</v>
      </c>
      <c r="F94">
        <v>5</v>
      </c>
    </row>
    <row r="95" spans="1:6">
      <c r="A95" s="8">
        <v>46143</v>
      </c>
      <c r="B95" s="21" t="s">
        <v>24</v>
      </c>
      <c r="C95" s="21" t="s">
        <v>54</v>
      </c>
      <c r="D95">
        <v>18</v>
      </c>
      <c r="E95" s="3">
        <v>2204</v>
      </c>
      <c r="F95">
        <v>6</v>
      </c>
    </row>
    <row r="96" spans="1:6">
      <c r="A96" s="8">
        <v>46143</v>
      </c>
      <c r="B96" s="21" t="s">
        <v>26</v>
      </c>
      <c r="C96" s="21" t="s">
        <v>54</v>
      </c>
      <c r="D96">
        <v>19</v>
      </c>
      <c r="E96" s="3">
        <v>1580.08</v>
      </c>
      <c r="F96">
        <v>2</v>
      </c>
    </row>
    <row r="97" spans="1:6">
      <c r="A97" s="8">
        <v>46143</v>
      </c>
      <c r="B97" s="21" t="s">
        <v>28</v>
      </c>
      <c r="C97" s="21" t="s">
        <v>54</v>
      </c>
      <c r="D97">
        <v>10</v>
      </c>
      <c r="E97" s="3">
        <v>1184.5999999999999</v>
      </c>
      <c r="F97">
        <v>3</v>
      </c>
    </row>
    <row r="98" spans="1:6">
      <c r="A98" s="8">
        <v>46143</v>
      </c>
      <c r="B98" s="21" t="s">
        <v>29</v>
      </c>
      <c r="C98" s="21" t="s">
        <v>54</v>
      </c>
      <c r="D98">
        <v>13</v>
      </c>
      <c r="E98" s="3">
        <v>1872.74</v>
      </c>
      <c r="F98">
        <v>7</v>
      </c>
    </row>
    <row r="99" spans="1:6">
      <c r="A99" s="8">
        <v>46143</v>
      </c>
      <c r="B99" s="21" t="s">
        <v>30</v>
      </c>
      <c r="C99" s="21" t="s">
        <v>54</v>
      </c>
      <c r="D99">
        <v>11</v>
      </c>
      <c r="E99" s="3">
        <v>1051.3699999999999</v>
      </c>
      <c r="F99">
        <v>4</v>
      </c>
    </row>
    <row r="100" spans="1:6">
      <c r="A100" s="8">
        <v>46143</v>
      </c>
      <c r="B100" s="21" t="s">
        <v>32</v>
      </c>
      <c r="C100" s="21" t="s">
        <v>54</v>
      </c>
      <c r="D100">
        <v>8</v>
      </c>
      <c r="E100" s="3">
        <v>975.93</v>
      </c>
      <c r="F100">
        <v>2</v>
      </c>
    </row>
    <row r="101" spans="1:6">
      <c r="A101" s="8">
        <v>46143</v>
      </c>
      <c r="B101" s="21" t="s">
        <v>33</v>
      </c>
      <c r="C101" s="21" t="s">
        <v>54</v>
      </c>
      <c r="D101">
        <v>22</v>
      </c>
      <c r="E101" s="3">
        <v>1677.53</v>
      </c>
      <c r="F101">
        <v>3</v>
      </c>
    </row>
    <row r="102" spans="1:6">
      <c r="A102" s="8">
        <v>46143</v>
      </c>
      <c r="B102" s="21" t="s">
        <v>36</v>
      </c>
      <c r="C102" s="21" t="s">
        <v>54</v>
      </c>
      <c r="D102">
        <v>12</v>
      </c>
      <c r="E102" s="3">
        <v>1045.3499999999999</v>
      </c>
      <c r="F102">
        <v>5</v>
      </c>
    </row>
    <row r="103" spans="1:6">
      <c r="A103" s="8">
        <v>46174</v>
      </c>
      <c r="B103" s="21" t="s">
        <v>24</v>
      </c>
      <c r="C103" s="21" t="s">
        <v>54</v>
      </c>
      <c r="D103">
        <v>18</v>
      </c>
      <c r="E103" s="3">
        <v>2372.75</v>
      </c>
      <c r="F103">
        <v>9</v>
      </c>
    </row>
    <row r="104" spans="1:6">
      <c r="A104" s="8">
        <v>46174</v>
      </c>
      <c r="B104" s="21" t="s">
        <v>26</v>
      </c>
      <c r="C104" s="21" t="s">
        <v>54</v>
      </c>
      <c r="D104">
        <v>15</v>
      </c>
      <c r="E104" s="3">
        <v>1408</v>
      </c>
      <c r="F104">
        <v>5</v>
      </c>
    </row>
    <row r="105" spans="1:6">
      <c r="A105" s="8">
        <v>46174</v>
      </c>
      <c r="B105" s="21" t="s">
        <v>28</v>
      </c>
      <c r="C105" s="21" t="s">
        <v>54</v>
      </c>
      <c r="D105">
        <v>10</v>
      </c>
      <c r="E105" s="3">
        <v>1218.04</v>
      </c>
      <c r="F105">
        <v>5</v>
      </c>
    </row>
    <row r="106" spans="1:6">
      <c r="A106" s="8">
        <v>46174</v>
      </c>
      <c r="B106" s="21" t="s">
        <v>29</v>
      </c>
      <c r="C106" s="21" t="s">
        <v>54</v>
      </c>
      <c r="D106">
        <v>19</v>
      </c>
      <c r="E106" s="3">
        <v>2768.38</v>
      </c>
      <c r="F106">
        <v>7</v>
      </c>
    </row>
    <row r="107" spans="1:6">
      <c r="A107" s="8">
        <v>46174</v>
      </c>
      <c r="B107" s="21" t="s">
        <v>32</v>
      </c>
      <c r="C107" s="21" t="s">
        <v>54</v>
      </c>
      <c r="D107">
        <v>5</v>
      </c>
      <c r="E107" s="3">
        <v>482.2</v>
      </c>
      <c r="F107">
        <v>2</v>
      </c>
    </row>
    <row r="108" spans="1:6">
      <c r="A108" s="8">
        <v>46174</v>
      </c>
      <c r="B108" s="21" t="s">
        <v>33</v>
      </c>
      <c r="C108" s="21" t="s">
        <v>54</v>
      </c>
      <c r="D108">
        <v>3</v>
      </c>
      <c r="E108" s="3">
        <v>292.67</v>
      </c>
      <c r="F108">
        <v>2</v>
      </c>
    </row>
    <row r="109" spans="1:6">
      <c r="A109" s="8">
        <v>46174</v>
      </c>
      <c r="B109" s="21" t="s">
        <v>36</v>
      </c>
      <c r="C109" s="21" t="s">
        <v>54</v>
      </c>
      <c r="D109">
        <v>14</v>
      </c>
      <c r="E109" s="3">
        <v>1261.05</v>
      </c>
      <c r="F109">
        <v>5</v>
      </c>
    </row>
    <row r="110" spans="1:6">
      <c r="A110" s="8">
        <v>46204</v>
      </c>
      <c r="B110" s="21" t="s">
        <v>24</v>
      </c>
      <c r="C110" s="21" t="s">
        <v>54</v>
      </c>
      <c r="D110">
        <v>17</v>
      </c>
      <c r="E110" s="3">
        <v>2614.65</v>
      </c>
      <c r="F110">
        <v>5</v>
      </c>
    </row>
    <row r="111" spans="1:6">
      <c r="A111" s="8">
        <v>46204</v>
      </c>
      <c r="B111" s="21" t="s">
        <v>27</v>
      </c>
      <c r="C111" s="21" t="s">
        <v>54</v>
      </c>
      <c r="D111">
        <v>10</v>
      </c>
      <c r="E111" s="3">
        <v>1266.29</v>
      </c>
      <c r="F111">
        <v>3</v>
      </c>
    </row>
    <row r="112" spans="1:6">
      <c r="A112" s="8">
        <v>46204</v>
      </c>
      <c r="B112" s="21" t="s">
        <v>28</v>
      </c>
      <c r="C112" s="21" t="s">
        <v>54</v>
      </c>
      <c r="D112">
        <v>15</v>
      </c>
      <c r="E112" s="3">
        <v>2162.1</v>
      </c>
      <c r="F112">
        <v>6</v>
      </c>
    </row>
    <row r="113" spans="1:6">
      <c r="A113" s="8">
        <v>46204</v>
      </c>
      <c r="B113" s="21" t="s">
        <v>29</v>
      </c>
      <c r="C113" s="21" t="s">
        <v>54</v>
      </c>
      <c r="D113">
        <v>15</v>
      </c>
      <c r="E113" s="3">
        <v>2925.16</v>
      </c>
      <c r="F113">
        <v>6</v>
      </c>
    </row>
    <row r="114" spans="1:6">
      <c r="A114" s="8">
        <v>46204</v>
      </c>
      <c r="B114" s="21" t="s">
        <v>30</v>
      </c>
      <c r="C114" s="21" t="s">
        <v>54</v>
      </c>
      <c r="D114">
        <v>10</v>
      </c>
      <c r="E114" s="3">
        <v>1110.82</v>
      </c>
      <c r="F114">
        <v>4</v>
      </c>
    </row>
    <row r="115" spans="1:6">
      <c r="A115" s="8">
        <v>46204</v>
      </c>
      <c r="B115" s="21" t="s">
        <v>31</v>
      </c>
      <c r="C115" s="21" t="s">
        <v>54</v>
      </c>
      <c r="D115">
        <v>7</v>
      </c>
      <c r="E115" s="3">
        <v>717.21</v>
      </c>
      <c r="F115">
        <v>3</v>
      </c>
    </row>
    <row r="116" spans="1:6">
      <c r="A116" s="8">
        <v>46204</v>
      </c>
      <c r="B116" s="21" t="s">
        <v>33</v>
      </c>
      <c r="C116" s="21" t="s">
        <v>54</v>
      </c>
      <c r="D116">
        <v>4</v>
      </c>
      <c r="E116" s="3">
        <v>403.06</v>
      </c>
      <c r="F116">
        <v>3</v>
      </c>
    </row>
    <row r="117" spans="1:6">
      <c r="A117" s="8">
        <v>46204</v>
      </c>
      <c r="B117" s="21" t="s">
        <v>35</v>
      </c>
      <c r="C117" s="21" t="s">
        <v>54</v>
      </c>
      <c r="D117">
        <v>5</v>
      </c>
      <c r="E117" s="3">
        <v>572.62</v>
      </c>
      <c r="F117">
        <v>2</v>
      </c>
    </row>
    <row r="118" spans="1:6">
      <c r="A118" s="8">
        <v>46204</v>
      </c>
      <c r="B118" s="21" t="s">
        <v>36</v>
      </c>
      <c r="C118" s="21" t="s">
        <v>54</v>
      </c>
      <c r="D118">
        <v>2</v>
      </c>
      <c r="E118" s="3">
        <v>219.5</v>
      </c>
      <c r="F118">
        <v>2</v>
      </c>
    </row>
    <row r="119" spans="1:6">
      <c r="A119" s="8">
        <v>46204</v>
      </c>
      <c r="B119" s="21" t="s">
        <v>37</v>
      </c>
      <c r="C119" s="21" t="s">
        <v>54</v>
      </c>
      <c r="D119">
        <v>13</v>
      </c>
      <c r="E119" s="3">
        <v>2084.8000000000002</v>
      </c>
      <c r="F119">
        <v>5</v>
      </c>
    </row>
    <row r="120" spans="1:6">
      <c r="A120" s="8">
        <v>46235</v>
      </c>
      <c r="B120" s="21" t="s">
        <v>24</v>
      </c>
      <c r="C120" s="21" t="s">
        <v>54</v>
      </c>
      <c r="D120">
        <v>11</v>
      </c>
      <c r="E120" s="3">
        <v>1951.05</v>
      </c>
      <c r="F120">
        <v>5</v>
      </c>
    </row>
    <row r="121" spans="1:6">
      <c r="A121" s="8">
        <v>46235</v>
      </c>
      <c r="B121" s="21" t="s">
        <v>26</v>
      </c>
      <c r="C121" s="21" t="s">
        <v>54</v>
      </c>
      <c r="D121">
        <v>7</v>
      </c>
      <c r="E121" s="3">
        <v>883.84</v>
      </c>
      <c r="F121">
        <v>4</v>
      </c>
    </row>
    <row r="122" spans="1:6">
      <c r="A122" s="8">
        <v>46235</v>
      </c>
      <c r="B122" s="21" t="s">
        <v>27</v>
      </c>
      <c r="C122" s="21" t="s">
        <v>54</v>
      </c>
      <c r="D122">
        <v>14</v>
      </c>
      <c r="E122" s="3">
        <v>1757.03</v>
      </c>
      <c r="F122">
        <v>2</v>
      </c>
    </row>
    <row r="123" spans="1:6">
      <c r="A123" s="8">
        <v>46235</v>
      </c>
      <c r="B123" s="21" t="s">
        <v>28</v>
      </c>
      <c r="C123" s="21" t="s">
        <v>54</v>
      </c>
      <c r="D123">
        <v>11</v>
      </c>
      <c r="E123" s="3">
        <v>1927.97</v>
      </c>
      <c r="F123">
        <v>5</v>
      </c>
    </row>
    <row r="124" spans="1:6">
      <c r="A124" s="8">
        <v>46235</v>
      </c>
      <c r="B124" s="21" t="s">
        <v>29</v>
      </c>
      <c r="C124" s="21" t="s">
        <v>54</v>
      </c>
      <c r="D124">
        <v>5</v>
      </c>
      <c r="E124" s="3">
        <v>1024.07</v>
      </c>
      <c r="F124">
        <v>2</v>
      </c>
    </row>
    <row r="125" spans="1:6">
      <c r="A125" s="8">
        <v>46235</v>
      </c>
      <c r="B125" s="21" t="s">
        <v>31</v>
      </c>
      <c r="C125" s="21" t="s">
        <v>54</v>
      </c>
      <c r="D125">
        <v>8</v>
      </c>
      <c r="E125" s="3">
        <v>1189.71</v>
      </c>
      <c r="F125">
        <v>2</v>
      </c>
    </row>
    <row r="126" spans="1:6">
      <c r="A126" s="8">
        <v>46235</v>
      </c>
      <c r="B126" s="21" t="s">
        <v>32</v>
      </c>
      <c r="C126" s="21" t="s">
        <v>54</v>
      </c>
      <c r="D126">
        <v>3</v>
      </c>
      <c r="E126" s="3">
        <v>362.26</v>
      </c>
      <c r="F126">
        <v>2</v>
      </c>
    </row>
    <row r="127" spans="1:6">
      <c r="A127" s="8">
        <v>46235</v>
      </c>
      <c r="B127" s="21" t="s">
        <v>34</v>
      </c>
      <c r="C127" s="21" t="s">
        <v>54</v>
      </c>
      <c r="D127">
        <v>13</v>
      </c>
      <c r="E127" s="3">
        <v>1469.68</v>
      </c>
      <c r="F127">
        <v>2</v>
      </c>
    </row>
    <row r="128" spans="1:6">
      <c r="A128" s="8">
        <v>46235</v>
      </c>
      <c r="B128" s="21" t="s">
        <v>36</v>
      </c>
      <c r="C128" s="21" t="s">
        <v>54</v>
      </c>
      <c r="D128">
        <v>6</v>
      </c>
      <c r="E128" s="3">
        <v>682.04</v>
      </c>
      <c r="F128">
        <v>2</v>
      </c>
    </row>
    <row r="129" spans="1:6">
      <c r="A129" s="8">
        <v>46235</v>
      </c>
      <c r="B129" s="21" t="s">
        <v>37</v>
      </c>
      <c r="C129" s="21" t="s">
        <v>54</v>
      </c>
      <c r="D129">
        <v>11</v>
      </c>
      <c r="E129" s="3">
        <v>1751.8</v>
      </c>
      <c r="F129">
        <v>6</v>
      </c>
    </row>
    <row r="130" spans="1:6">
      <c r="A130" s="8">
        <v>46266</v>
      </c>
      <c r="B130" s="21" t="s">
        <v>24</v>
      </c>
      <c r="C130" s="21" t="s">
        <v>54</v>
      </c>
      <c r="D130">
        <v>8</v>
      </c>
      <c r="E130" s="3">
        <v>1005.78</v>
      </c>
      <c r="F130">
        <v>4</v>
      </c>
    </row>
    <row r="131" spans="1:6">
      <c r="A131" s="8">
        <v>46266</v>
      </c>
      <c r="B131" s="21" t="s">
        <v>28</v>
      </c>
      <c r="C131" s="21" t="s">
        <v>54</v>
      </c>
      <c r="D131">
        <v>9</v>
      </c>
      <c r="E131" s="3">
        <v>1201.4000000000001</v>
      </c>
      <c r="F131">
        <v>4</v>
      </c>
    </row>
    <row r="132" spans="1:6">
      <c r="A132" s="8">
        <v>46266</v>
      </c>
      <c r="B132" s="21" t="s">
        <v>29</v>
      </c>
      <c r="C132" s="21" t="s">
        <v>54</v>
      </c>
      <c r="D132">
        <v>12</v>
      </c>
      <c r="E132" s="3">
        <v>1783.34</v>
      </c>
      <c r="F132">
        <v>6</v>
      </c>
    </row>
    <row r="133" spans="1:6">
      <c r="A133" s="8">
        <v>46266</v>
      </c>
      <c r="B133" s="21" t="s">
        <v>30</v>
      </c>
      <c r="C133" s="21" t="s">
        <v>54</v>
      </c>
      <c r="D133">
        <v>5</v>
      </c>
      <c r="E133" s="3">
        <v>527.9</v>
      </c>
      <c r="F133">
        <v>2</v>
      </c>
    </row>
    <row r="134" spans="1:6">
      <c r="A134" s="8">
        <v>46266</v>
      </c>
      <c r="B134" s="21" t="s">
        <v>31</v>
      </c>
      <c r="C134" s="21" t="s">
        <v>54</v>
      </c>
      <c r="D134">
        <v>10</v>
      </c>
      <c r="E134" s="3">
        <v>1002.75</v>
      </c>
      <c r="F134">
        <v>4</v>
      </c>
    </row>
    <row r="135" spans="1:6">
      <c r="A135" s="8">
        <v>46266</v>
      </c>
      <c r="B135" s="21" t="s">
        <v>32</v>
      </c>
      <c r="C135" s="21" t="s">
        <v>54</v>
      </c>
      <c r="D135">
        <v>11</v>
      </c>
      <c r="E135" s="3">
        <v>1133.52</v>
      </c>
      <c r="F135">
        <v>5</v>
      </c>
    </row>
    <row r="136" spans="1:6">
      <c r="A136" s="8">
        <v>46266</v>
      </c>
      <c r="B136" s="21" t="s">
        <v>34</v>
      </c>
      <c r="C136" s="21" t="s">
        <v>54</v>
      </c>
      <c r="D136">
        <v>3</v>
      </c>
      <c r="E136" s="3">
        <v>366.3</v>
      </c>
      <c r="F136">
        <v>2</v>
      </c>
    </row>
    <row r="137" spans="1:6">
      <c r="A137" s="8">
        <v>46296</v>
      </c>
      <c r="B137" s="21" t="s">
        <v>24</v>
      </c>
      <c r="C137" s="21" t="s">
        <v>54</v>
      </c>
      <c r="D137">
        <v>2</v>
      </c>
      <c r="E137" s="3">
        <v>277.2</v>
      </c>
      <c r="F137">
        <v>2</v>
      </c>
    </row>
    <row r="138" spans="1:6">
      <c r="A138" s="8">
        <v>46296</v>
      </c>
      <c r="B138" s="21" t="s">
        <v>27</v>
      </c>
      <c r="C138" s="21" t="s">
        <v>54</v>
      </c>
      <c r="D138">
        <v>11</v>
      </c>
      <c r="E138" s="3">
        <v>926.13</v>
      </c>
      <c r="F138">
        <v>4</v>
      </c>
    </row>
    <row r="139" spans="1:6">
      <c r="A139" s="8">
        <v>46296</v>
      </c>
      <c r="B139" s="21" t="s">
        <v>29</v>
      </c>
      <c r="C139" s="21" t="s">
        <v>54</v>
      </c>
      <c r="D139">
        <v>12</v>
      </c>
      <c r="E139" s="3">
        <v>1754.38</v>
      </c>
      <c r="F139">
        <v>6</v>
      </c>
    </row>
    <row r="140" spans="1:6">
      <c r="A140" s="8">
        <v>46296</v>
      </c>
      <c r="B140" s="21" t="s">
        <v>30</v>
      </c>
      <c r="C140" s="21" t="s">
        <v>54</v>
      </c>
      <c r="D140">
        <v>7</v>
      </c>
      <c r="E140" s="3">
        <v>649.71</v>
      </c>
      <c r="F140">
        <v>2</v>
      </c>
    </row>
    <row r="141" spans="1:6">
      <c r="A141" s="8">
        <v>46296</v>
      </c>
      <c r="B141" s="21" t="s">
        <v>31</v>
      </c>
      <c r="C141" s="21" t="s">
        <v>54</v>
      </c>
      <c r="D141">
        <v>4</v>
      </c>
      <c r="E141" s="3">
        <v>406.94</v>
      </c>
      <c r="F141">
        <v>2</v>
      </c>
    </row>
    <row r="142" spans="1:6">
      <c r="A142" s="8">
        <v>46296</v>
      </c>
      <c r="B142" s="21" t="s">
        <v>32</v>
      </c>
      <c r="C142" s="21" t="s">
        <v>54</v>
      </c>
      <c r="D142">
        <v>4</v>
      </c>
      <c r="E142" s="3">
        <v>434.54</v>
      </c>
      <c r="F142">
        <v>2</v>
      </c>
    </row>
    <row r="143" spans="1:6">
      <c r="A143" s="8">
        <v>46296</v>
      </c>
      <c r="B143" s="21" t="s">
        <v>36</v>
      </c>
      <c r="C143" s="21" t="s">
        <v>54</v>
      </c>
      <c r="D143">
        <v>8</v>
      </c>
      <c r="E143" s="3">
        <v>629.55999999999995</v>
      </c>
      <c r="F143">
        <v>2</v>
      </c>
    </row>
    <row r="144" spans="1:6">
      <c r="A144" s="8">
        <v>46023</v>
      </c>
      <c r="B144" s="21" t="s">
        <v>24</v>
      </c>
      <c r="C144" s="21" t="s">
        <v>55</v>
      </c>
      <c r="D144">
        <v>10</v>
      </c>
      <c r="E144" s="3">
        <v>823.94</v>
      </c>
      <c r="F144">
        <v>4</v>
      </c>
    </row>
    <row r="145" spans="1:6">
      <c r="A145" s="8">
        <v>46023</v>
      </c>
      <c r="B145" s="21" t="s">
        <v>26</v>
      </c>
      <c r="C145" s="21" t="s">
        <v>55</v>
      </c>
      <c r="D145">
        <v>9</v>
      </c>
      <c r="E145" s="3">
        <v>817.26</v>
      </c>
      <c r="F145">
        <v>3</v>
      </c>
    </row>
    <row r="146" spans="1:6">
      <c r="A146" s="8">
        <v>46023</v>
      </c>
      <c r="B146" s="21" t="s">
        <v>27</v>
      </c>
      <c r="C146" s="21" t="s">
        <v>55</v>
      </c>
      <c r="D146">
        <v>2</v>
      </c>
      <c r="E146" s="3">
        <v>226.35</v>
      </c>
      <c r="F146">
        <v>2</v>
      </c>
    </row>
    <row r="147" spans="1:6">
      <c r="A147" s="8">
        <v>46023</v>
      </c>
      <c r="B147" s="21" t="s">
        <v>28</v>
      </c>
      <c r="C147" s="21" t="s">
        <v>55</v>
      </c>
      <c r="D147">
        <v>11</v>
      </c>
      <c r="E147" s="3">
        <v>1013.19</v>
      </c>
      <c r="F147">
        <v>6</v>
      </c>
    </row>
    <row r="148" spans="1:6">
      <c r="A148" s="8">
        <v>46023</v>
      </c>
      <c r="B148" s="21" t="s">
        <v>29</v>
      </c>
      <c r="C148" s="21" t="s">
        <v>55</v>
      </c>
      <c r="D148">
        <v>5</v>
      </c>
      <c r="E148" s="3">
        <v>730.46</v>
      </c>
      <c r="F148">
        <v>4</v>
      </c>
    </row>
    <row r="149" spans="1:6">
      <c r="A149" s="8">
        <v>46023</v>
      </c>
      <c r="B149" s="21" t="s">
        <v>30</v>
      </c>
      <c r="C149" s="21" t="s">
        <v>55</v>
      </c>
      <c r="D149">
        <v>8</v>
      </c>
      <c r="E149" s="3">
        <v>705.01</v>
      </c>
      <c r="F149">
        <v>5</v>
      </c>
    </row>
    <row r="150" spans="1:6">
      <c r="A150" s="8">
        <v>46023</v>
      </c>
      <c r="B150" s="21" t="s">
        <v>31</v>
      </c>
      <c r="C150" s="21" t="s">
        <v>55</v>
      </c>
      <c r="D150">
        <v>18</v>
      </c>
      <c r="E150" s="3">
        <v>1292.06</v>
      </c>
      <c r="F150">
        <v>6</v>
      </c>
    </row>
    <row r="151" spans="1:6">
      <c r="A151" s="8">
        <v>46023</v>
      </c>
      <c r="B151" s="21" t="s">
        <v>32</v>
      </c>
      <c r="C151" s="21" t="s">
        <v>55</v>
      </c>
      <c r="D151">
        <v>22</v>
      </c>
      <c r="E151" s="3">
        <v>1395.95</v>
      </c>
      <c r="F151">
        <v>8</v>
      </c>
    </row>
    <row r="152" spans="1:6">
      <c r="A152" s="8">
        <v>46023</v>
      </c>
      <c r="B152" s="21" t="s">
        <v>33</v>
      </c>
      <c r="C152" s="21" t="s">
        <v>55</v>
      </c>
      <c r="D152">
        <v>18</v>
      </c>
      <c r="E152" s="3">
        <v>1184.8900000000001</v>
      </c>
      <c r="F152">
        <v>7</v>
      </c>
    </row>
    <row r="153" spans="1:6">
      <c r="A153" s="8">
        <v>46023</v>
      </c>
      <c r="B153" s="21" t="s">
        <v>34</v>
      </c>
      <c r="C153" s="21" t="s">
        <v>55</v>
      </c>
      <c r="D153">
        <v>5</v>
      </c>
      <c r="E153" s="3">
        <v>416.14</v>
      </c>
      <c r="F153">
        <v>3</v>
      </c>
    </row>
    <row r="154" spans="1:6">
      <c r="A154" s="8">
        <v>46023</v>
      </c>
      <c r="B154" s="21" t="s">
        <v>35</v>
      </c>
      <c r="C154" s="21" t="s">
        <v>55</v>
      </c>
      <c r="D154">
        <v>6</v>
      </c>
      <c r="E154" s="3">
        <v>566.96</v>
      </c>
      <c r="F154">
        <v>4</v>
      </c>
    </row>
    <row r="155" spans="1:6">
      <c r="A155" s="8">
        <v>46023</v>
      </c>
      <c r="B155" s="21" t="s">
        <v>36</v>
      </c>
      <c r="C155" s="21" t="s">
        <v>55</v>
      </c>
      <c r="D155">
        <v>18</v>
      </c>
      <c r="E155" s="3">
        <v>1419.34</v>
      </c>
      <c r="F155">
        <v>8</v>
      </c>
    </row>
    <row r="156" spans="1:6">
      <c r="A156" s="8">
        <v>46023</v>
      </c>
      <c r="B156" s="21" t="s">
        <v>37</v>
      </c>
      <c r="C156" s="21" t="s">
        <v>55</v>
      </c>
      <c r="D156">
        <v>12</v>
      </c>
      <c r="E156" s="3">
        <v>953.9</v>
      </c>
      <c r="F156">
        <v>4</v>
      </c>
    </row>
    <row r="157" spans="1:6">
      <c r="A157" s="8">
        <v>46054</v>
      </c>
      <c r="B157" s="21" t="s">
        <v>24</v>
      </c>
      <c r="C157" s="21" t="s">
        <v>55</v>
      </c>
      <c r="D157">
        <v>3</v>
      </c>
      <c r="E157" s="3">
        <v>407.9</v>
      </c>
      <c r="F157">
        <v>3</v>
      </c>
    </row>
    <row r="158" spans="1:6">
      <c r="A158" s="8">
        <v>46054</v>
      </c>
      <c r="B158" s="21" t="s">
        <v>27</v>
      </c>
      <c r="C158" s="21" t="s">
        <v>55</v>
      </c>
      <c r="D158">
        <v>2</v>
      </c>
      <c r="E158" s="3">
        <v>229.53</v>
      </c>
      <c r="F158">
        <v>2</v>
      </c>
    </row>
    <row r="159" spans="1:6">
      <c r="A159" s="8">
        <v>46054</v>
      </c>
      <c r="B159" s="21" t="s">
        <v>28</v>
      </c>
      <c r="C159" s="21" t="s">
        <v>55</v>
      </c>
      <c r="D159">
        <v>7</v>
      </c>
      <c r="E159" s="3">
        <v>743.73</v>
      </c>
      <c r="F159">
        <v>3</v>
      </c>
    </row>
    <row r="160" spans="1:6">
      <c r="A160" s="8">
        <v>46054</v>
      </c>
      <c r="B160" s="21" t="s">
        <v>29</v>
      </c>
      <c r="C160" s="21" t="s">
        <v>55</v>
      </c>
      <c r="D160">
        <v>8</v>
      </c>
      <c r="E160" s="3">
        <v>1052.79</v>
      </c>
      <c r="F160">
        <v>5</v>
      </c>
    </row>
    <row r="161" spans="1:6">
      <c r="A161" s="8">
        <v>46054</v>
      </c>
      <c r="B161" s="21" t="s">
        <v>30</v>
      </c>
      <c r="C161" s="21" t="s">
        <v>55</v>
      </c>
      <c r="D161">
        <v>5</v>
      </c>
      <c r="E161" s="3">
        <v>430.24</v>
      </c>
      <c r="F161">
        <v>2</v>
      </c>
    </row>
    <row r="162" spans="1:6">
      <c r="A162" s="8">
        <v>46054</v>
      </c>
      <c r="B162" s="21" t="s">
        <v>31</v>
      </c>
      <c r="C162" s="21" t="s">
        <v>55</v>
      </c>
      <c r="D162">
        <v>6</v>
      </c>
      <c r="E162" s="3">
        <v>415.58</v>
      </c>
      <c r="F162">
        <v>2</v>
      </c>
    </row>
    <row r="163" spans="1:6">
      <c r="A163" s="8">
        <v>46054</v>
      </c>
      <c r="B163" s="21" t="s">
        <v>32</v>
      </c>
      <c r="C163" s="21" t="s">
        <v>55</v>
      </c>
      <c r="D163">
        <v>8</v>
      </c>
      <c r="E163" s="3">
        <v>579.78</v>
      </c>
      <c r="F163">
        <v>2</v>
      </c>
    </row>
    <row r="164" spans="1:6">
      <c r="A164" s="8">
        <v>46054</v>
      </c>
      <c r="B164" s="21" t="s">
        <v>33</v>
      </c>
      <c r="C164" s="21" t="s">
        <v>55</v>
      </c>
      <c r="D164">
        <v>12</v>
      </c>
      <c r="E164" s="3">
        <v>796.97</v>
      </c>
      <c r="F164">
        <v>3</v>
      </c>
    </row>
    <row r="165" spans="1:6">
      <c r="A165" s="8">
        <v>46054</v>
      </c>
      <c r="B165" s="21" t="s">
        <v>34</v>
      </c>
      <c r="C165" s="21" t="s">
        <v>55</v>
      </c>
      <c r="D165">
        <v>5</v>
      </c>
      <c r="E165" s="3">
        <v>503.5</v>
      </c>
      <c r="F165">
        <v>2</v>
      </c>
    </row>
    <row r="166" spans="1:6">
      <c r="A166" s="8">
        <v>46054</v>
      </c>
      <c r="B166" s="21" t="s">
        <v>36</v>
      </c>
      <c r="C166" s="21" t="s">
        <v>55</v>
      </c>
      <c r="D166">
        <v>9</v>
      </c>
      <c r="E166" s="3">
        <v>719.2</v>
      </c>
      <c r="F166">
        <v>5</v>
      </c>
    </row>
    <row r="167" spans="1:6">
      <c r="A167" s="8">
        <v>46082</v>
      </c>
      <c r="B167" s="21" t="s">
        <v>24</v>
      </c>
      <c r="C167" s="21" t="s">
        <v>55</v>
      </c>
      <c r="D167">
        <v>9</v>
      </c>
      <c r="E167" s="3">
        <v>1186.8399999999999</v>
      </c>
      <c r="F167">
        <v>5</v>
      </c>
    </row>
    <row r="168" spans="1:6">
      <c r="A168" s="8">
        <v>46082</v>
      </c>
      <c r="B168" s="21" t="s">
        <v>26</v>
      </c>
      <c r="C168" s="21" t="s">
        <v>55</v>
      </c>
      <c r="D168">
        <v>4</v>
      </c>
      <c r="E168" s="3">
        <v>319.10000000000002</v>
      </c>
      <c r="F168">
        <v>2</v>
      </c>
    </row>
    <row r="169" spans="1:6">
      <c r="A169" s="8">
        <v>46082</v>
      </c>
      <c r="B169" s="21" t="s">
        <v>28</v>
      </c>
      <c r="C169" s="21" t="s">
        <v>55</v>
      </c>
      <c r="D169">
        <v>6</v>
      </c>
      <c r="E169" s="3">
        <v>788.8</v>
      </c>
      <c r="F169">
        <v>4</v>
      </c>
    </row>
    <row r="170" spans="1:6">
      <c r="A170" s="8">
        <v>46082</v>
      </c>
      <c r="B170" s="21" t="s">
        <v>29</v>
      </c>
      <c r="C170" s="21" t="s">
        <v>55</v>
      </c>
      <c r="D170">
        <v>3</v>
      </c>
      <c r="E170" s="3">
        <v>435.14</v>
      </c>
      <c r="F170">
        <v>2</v>
      </c>
    </row>
    <row r="171" spans="1:6">
      <c r="A171" s="8">
        <v>46082</v>
      </c>
      <c r="B171" s="21" t="s">
        <v>30</v>
      </c>
      <c r="C171" s="21" t="s">
        <v>55</v>
      </c>
      <c r="D171">
        <v>11</v>
      </c>
      <c r="E171" s="3">
        <v>968.91</v>
      </c>
      <c r="F171">
        <v>6</v>
      </c>
    </row>
    <row r="172" spans="1:6">
      <c r="A172" s="8">
        <v>46082</v>
      </c>
      <c r="B172" s="21" t="s">
        <v>31</v>
      </c>
      <c r="C172" s="21" t="s">
        <v>55</v>
      </c>
      <c r="D172">
        <v>10</v>
      </c>
      <c r="E172" s="3">
        <v>914.13</v>
      </c>
      <c r="F172">
        <v>5</v>
      </c>
    </row>
    <row r="173" spans="1:6">
      <c r="A173" s="8">
        <v>46082</v>
      </c>
      <c r="B173" s="21" t="s">
        <v>32</v>
      </c>
      <c r="C173" s="21" t="s">
        <v>55</v>
      </c>
      <c r="D173">
        <v>13</v>
      </c>
      <c r="E173" s="3">
        <v>963.11</v>
      </c>
      <c r="F173">
        <v>4</v>
      </c>
    </row>
    <row r="174" spans="1:6">
      <c r="A174" s="8">
        <v>46082</v>
      </c>
      <c r="B174" s="21" t="s">
        <v>33</v>
      </c>
      <c r="C174" s="21" t="s">
        <v>55</v>
      </c>
      <c r="D174">
        <v>9</v>
      </c>
      <c r="E174" s="3">
        <v>685.82</v>
      </c>
      <c r="F174">
        <v>4</v>
      </c>
    </row>
    <row r="175" spans="1:6">
      <c r="A175" s="8">
        <v>46082</v>
      </c>
      <c r="B175" s="21" t="s">
        <v>34</v>
      </c>
      <c r="C175" s="21" t="s">
        <v>55</v>
      </c>
      <c r="D175">
        <v>15</v>
      </c>
      <c r="E175" s="3">
        <v>1262.6600000000001</v>
      </c>
      <c r="F175">
        <v>7</v>
      </c>
    </row>
    <row r="176" spans="1:6">
      <c r="A176" s="8">
        <v>46082</v>
      </c>
      <c r="B176" s="21" t="s">
        <v>35</v>
      </c>
      <c r="C176" s="21" t="s">
        <v>55</v>
      </c>
      <c r="D176">
        <v>10</v>
      </c>
      <c r="E176" s="3">
        <v>729.35</v>
      </c>
      <c r="F176">
        <v>3</v>
      </c>
    </row>
    <row r="177" spans="1:6">
      <c r="A177" s="8">
        <v>46082</v>
      </c>
      <c r="B177" s="21" t="s">
        <v>36</v>
      </c>
      <c r="C177" s="21" t="s">
        <v>55</v>
      </c>
      <c r="D177">
        <v>3</v>
      </c>
      <c r="E177" s="3">
        <v>277.83999999999997</v>
      </c>
      <c r="F177">
        <v>2</v>
      </c>
    </row>
    <row r="178" spans="1:6">
      <c r="A178" s="8">
        <v>46082</v>
      </c>
      <c r="B178" s="21" t="s">
        <v>37</v>
      </c>
      <c r="C178" s="21" t="s">
        <v>55</v>
      </c>
      <c r="D178">
        <v>6</v>
      </c>
      <c r="E178" s="3">
        <v>745.56</v>
      </c>
      <c r="F178">
        <v>3</v>
      </c>
    </row>
    <row r="179" spans="1:6">
      <c r="A179" s="8">
        <v>46113</v>
      </c>
      <c r="B179" s="21" t="s">
        <v>24</v>
      </c>
      <c r="C179" s="21" t="s">
        <v>55</v>
      </c>
      <c r="D179">
        <v>8</v>
      </c>
      <c r="E179" s="3">
        <v>1131.1199999999999</v>
      </c>
      <c r="F179">
        <v>6</v>
      </c>
    </row>
    <row r="180" spans="1:6">
      <c r="A180" s="8">
        <v>46113</v>
      </c>
      <c r="B180" s="21" t="s">
        <v>26</v>
      </c>
      <c r="C180" s="21" t="s">
        <v>55</v>
      </c>
      <c r="D180">
        <v>11</v>
      </c>
      <c r="E180" s="3">
        <v>1234.69</v>
      </c>
      <c r="F180">
        <v>4</v>
      </c>
    </row>
    <row r="181" spans="1:6">
      <c r="A181" s="8">
        <v>46113</v>
      </c>
      <c r="B181" s="21" t="s">
        <v>27</v>
      </c>
      <c r="C181" s="21" t="s">
        <v>55</v>
      </c>
      <c r="D181">
        <v>10</v>
      </c>
      <c r="E181" s="3">
        <v>1140.23</v>
      </c>
      <c r="F181">
        <v>4</v>
      </c>
    </row>
    <row r="182" spans="1:6">
      <c r="A182" s="8">
        <v>46113</v>
      </c>
      <c r="B182" s="21" t="s">
        <v>28</v>
      </c>
      <c r="C182" s="21" t="s">
        <v>55</v>
      </c>
      <c r="D182">
        <v>12</v>
      </c>
      <c r="E182" s="3">
        <v>1838.46</v>
      </c>
      <c r="F182">
        <v>6</v>
      </c>
    </row>
    <row r="183" spans="1:6">
      <c r="A183" s="8">
        <v>46113</v>
      </c>
      <c r="B183" s="21" t="s">
        <v>29</v>
      </c>
      <c r="C183" s="21" t="s">
        <v>55</v>
      </c>
      <c r="D183">
        <v>13</v>
      </c>
      <c r="E183" s="3">
        <v>2145.36</v>
      </c>
      <c r="F183">
        <v>5</v>
      </c>
    </row>
    <row r="184" spans="1:6">
      <c r="A184" s="8">
        <v>46113</v>
      </c>
      <c r="B184" s="21" t="s">
        <v>30</v>
      </c>
      <c r="C184" s="21" t="s">
        <v>55</v>
      </c>
      <c r="D184">
        <v>9</v>
      </c>
      <c r="E184" s="3">
        <v>1045.6400000000001</v>
      </c>
      <c r="F184">
        <v>4</v>
      </c>
    </row>
    <row r="185" spans="1:6">
      <c r="A185" s="8">
        <v>46113</v>
      </c>
      <c r="B185" s="21" t="s">
        <v>31</v>
      </c>
      <c r="C185" s="21" t="s">
        <v>55</v>
      </c>
      <c r="D185">
        <v>20</v>
      </c>
      <c r="E185" s="3">
        <v>2064.84</v>
      </c>
      <c r="F185">
        <v>6</v>
      </c>
    </row>
    <row r="186" spans="1:6">
      <c r="A186" s="8">
        <v>46113</v>
      </c>
      <c r="B186" s="21" t="s">
        <v>32</v>
      </c>
      <c r="C186" s="21" t="s">
        <v>55</v>
      </c>
      <c r="D186">
        <v>14</v>
      </c>
      <c r="E186" s="3">
        <v>1447.74</v>
      </c>
      <c r="F186">
        <v>7</v>
      </c>
    </row>
    <row r="187" spans="1:6">
      <c r="A187" s="8">
        <v>46113</v>
      </c>
      <c r="B187" s="21" t="s">
        <v>33</v>
      </c>
      <c r="C187" s="21" t="s">
        <v>55</v>
      </c>
      <c r="D187">
        <v>15</v>
      </c>
      <c r="E187" s="3">
        <v>1407.21</v>
      </c>
      <c r="F187">
        <v>5</v>
      </c>
    </row>
    <row r="188" spans="1:6">
      <c r="A188" s="8">
        <v>46113</v>
      </c>
      <c r="B188" s="21" t="s">
        <v>36</v>
      </c>
      <c r="C188" s="21" t="s">
        <v>55</v>
      </c>
      <c r="D188">
        <v>7</v>
      </c>
      <c r="E188" s="3">
        <v>645.25</v>
      </c>
      <c r="F188">
        <v>4</v>
      </c>
    </row>
    <row r="189" spans="1:6">
      <c r="A189" s="8">
        <v>46113</v>
      </c>
      <c r="B189" s="21" t="s">
        <v>37</v>
      </c>
      <c r="C189" s="21" t="s">
        <v>55</v>
      </c>
      <c r="D189">
        <v>11</v>
      </c>
      <c r="E189" s="3">
        <v>1405.72</v>
      </c>
      <c r="F189">
        <v>5</v>
      </c>
    </row>
    <row r="190" spans="1:6">
      <c r="A190" s="8">
        <v>46143</v>
      </c>
      <c r="B190" s="21" t="s">
        <v>24</v>
      </c>
      <c r="C190" s="21" t="s">
        <v>55</v>
      </c>
      <c r="D190">
        <v>8</v>
      </c>
      <c r="E190" s="3">
        <v>888.21</v>
      </c>
      <c r="F190">
        <v>3</v>
      </c>
    </row>
    <row r="191" spans="1:6">
      <c r="A191" s="8">
        <v>46143</v>
      </c>
      <c r="B191" s="21" t="s">
        <v>26</v>
      </c>
      <c r="C191" s="21" t="s">
        <v>55</v>
      </c>
      <c r="D191">
        <v>3</v>
      </c>
      <c r="E191" s="3">
        <v>343.38</v>
      </c>
      <c r="F191">
        <v>2</v>
      </c>
    </row>
    <row r="192" spans="1:6">
      <c r="A192" s="8">
        <v>46143</v>
      </c>
      <c r="B192" s="21" t="s">
        <v>27</v>
      </c>
      <c r="C192" s="21" t="s">
        <v>55</v>
      </c>
      <c r="D192">
        <v>23</v>
      </c>
      <c r="E192" s="3">
        <v>2185.71</v>
      </c>
      <c r="F192">
        <v>9</v>
      </c>
    </row>
    <row r="193" spans="1:6">
      <c r="A193" s="8">
        <v>46143</v>
      </c>
      <c r="B193" s="21" t="s">
        <v>28</v>
      </c>
      <c r="C193" s="21" t="s">
        <v>55</v>
      </c>
      <c r="D193">
        <v>17</v>
      </c>
      <c r="E193" s="3">
        <v>1986.99</v>
      </c>
      <c r="F193">
        <v>6</v>
      </c>
    </row>
    <row r="194" spans="1:6">
      <c r="A194" s="8">
        <v>46143</v>
      </c>
      <c r="B194" s="21" t="s">
        <v>29</v>
      </c>
      <c r="C194" s="21" t="s">
        <v>55</v>
      </c>
      <c r="D194">
        <v>11</v>
      </c>
      <c r="E194" s="3">
        <v>1669.32</v>
      </c>
      <c r="F194">
        <v>6</v>
      </c>
    </row>
    <row r="195" spans="1:6">
      <c r="A195" s="8">
        <v>46143</v>
      </c>
      <c r="B195" s="21" t="s">
        <v>30</v>
      </c>
      <c r="C195" s="21" t="s">
        <v>55</v>
      </c>
      <c r="D195">
        <v>7</v>
      </c>
      <c r="E195" s="3">
        <v>627.16</v>
      </c>
      <c r="F195">
        <v>3</v>
      </c>
    </row>
    <row r="196" spans="1:6">
      <c r="A196" s="8">
        <v>46143</v>
      </c>
      <c r="B196" s="21" t="s">
        <v>31</v>
      </c>
      <c r="C196" s="21" t="s">
        <v>55</v>
      </c>
      <c r="D196">
        <v>26</v>
      </c>
      <c r="E196" s="3">
        <v>2594.9699999999998</v>
      </c>
      <c r="F196">
        <v>8</v>
      </c>
    </row>
    <row r="197" spans="1:6">
      <c r="A197" s="8">
        <v>46143</v>
      </c>
      <c r="B197" s="21" t="s">
        <v>32</v>
      </c>
      <c r="C197" s="21" t="s">
        <v>55</v>
      </c>
      <c r="D197">
        <v>13</v>
      </c>
      <c r="E197" s="3">
        <v>1096.31</v>
      </c>
      <c r="F197">
        <v>5</v>
      </c>
    </row>
    <row r="198" spans="1:6">
      <c r="A198" s="8">
        <v>46143</v>
      </c>
      <c r="B198" s="21" t="s">
        <v>33</v>
      </c>
      <c r="C198" s="21" t="s">
        <v>55</v>
      </c>
      <c r="D198">
        <v>6</v>
      </c>
      <c r="E198" s="3">
        <v>585.1</v>
      </c>
      <c r="F198">
        <v>3</v>
      </c>
    </row>
    <row r="199" spans="1:6">
      <c r="A199" s="8">
        <v>46143</v>
      </c>
      <c r="B199" s="21" t="s">
        <v>34</v>
      </c>
      <c r="C199" s="21" t="s">
        <v>55</v>
      </c>
      <c r="D199">
        <v>20</v>
      </c>
      <c r="E199" s="3">
        <v>1957.39</v>
      </c>
      <c r="F199">
        <v>8</v>
      </c>
    </row>
    <row r="200" spans="1:6">
      <c r="A200" s="8">
        <v>46143</v>
      </c>
      <c r="B200" s="21" t="s">
        <v>35</v>
      </c>
      <c r="C200" s="21" t="s">
        <v>55</v>
      </c>
      <c r="D200">
        <v>19</v>
      </c>
      <c r="E200" s="3">
        <v>1657.12</v>
      </c>
      <c r="F200">
        <v>6</v>
      </c>
    </row>
    <row r="201" spans="1:6">
      <c r="A201" s="8">
        <v>46143</v>
      </c>
      <c r="B201" s="21" t="s">
        <v>36</v>
      </c>
      <c r="C201" s="21" t="s">
        <v>55</v>
      </c>
      <c r="D201">
        <v>15</v>
      </c>
      <c r="E201" s="3">
        <v>1361.41</v>
      </c>
      <c r="F201">
        <v>7</v>
      </c>
    </row>
    <row r="202" spans="1:6">
      <c r="A202" s="8">
        <v>46143</v>
      </c>
      <c r="B202" s="21" t="s">
        <v>37</v>
      </c>
      <c r="C202" s="21" t="s">
        <v>55</v>
      </c>
      <c r="D202">
        <v>22</v>
      </c>
      <c r="E202" s="3">
        <v>2584.11</v>
      </c>
      <c r="F202">
        <v>8</v>
      </c>
    </row>
    <row r="203" spans="1:6">
      <c r="A203" s="8">
        <v>46174</v>
      </c>
      <c r="B203" s="21" t="s">
        <v>24</v>
      </c>
      <c r="C203" s="21" t="s">
        <v>55</v>
      </c>
      <c r="D203">
        <v>8</v>
      </c>
      <c r="E203" s="3">
        <v>848.12</v>
      </c>
      <c r="F203">
        <v>4</v>
      </c>
    </row>
    <row r="204" spans="1:6">
      <c r="A204" s="8">
        <v>46174</v>
      </c>
      <c r="B204" s="21" t="s">
        <v>26</v>
      </c>
      <c r="C204" s="21" t="s">
        <v>55</v>
      </c>
      <c r="D204">
        <v>5</v>
      </c>
      <c r="E204" s="3">
        <v>497.74</v>
      </c>
      <c r="F204">
        <v>3</v>
      </c>
    </row>
    <row r="205" spans="1:6">
      <c r="A205" s="8">
        <v>46174</v>
      </c>
      <c r="B205" s="21" t="s">
        <v>27</v>
      </c>
      <c r="C205" s="21" t="s">
        <v>55</v>
      </c>
      <c r="D205">
        <v>17</v>
      </c>
      <c r="E205" s="3">
        <v>1437.27</v>
      </c>
      <c r="F205">
        <v>4</v>
      </c>
    </row>
    <row r="206" spans="1:6">
      <c r="A206" s="8">
        <v>46174</v>
      </c>
      <c r="B206" s="21" t="s">
        <v>28</v>
      </c>
      <c r="C206" s="21" t="s">
        <v>55</v>
      </c>
      <c r="D206">
        <v>11</v>
      </c>
      <c r="E206" s="3">
        <v>1402.6</v>
      </c>
      <c r="F206">
        <v>9</v>
      </c>
    </row>
    <row r="207" spans="1:6">
      <c r="A207" s="8">
        <v>46174</v>
      </c>
      <c r="B207" s="21" t="s">
        <v>29</v>
      </c>
      <c r="C207" s="21" t="s">
        <v>55</v>
      </c>
      <c r="D207">
        <v>4</v>
      </c>
      <c r="E207" s="3">
        <v>530.98</v>
      </c>
      <c r="F207">
        <v>2</v>
      </c>
    </row>
    <row r="208" spans="1:6">
      <c r="A208" s="8">
        <v>46174</v>
      </c>
      <c r="B208" s="21" t="s">
        <v>30</v>
      </c>
      <c r="C208" s="21" t="s">
        <v>55</v>
      </c>
      <c r="D208">
        <v>22</v>
      </c>
      <c r="E208" s="3">
        <v>2335.4</v>
      </c>
      <c r="F208">
        <v>7</v>
      </c>
    </row>
    <row r="209" spans="1:6">
      <c r="A209" s="8">
        <v>46174</v>
      </c>
      <c r="B209" s="21" t="s">
        <v>31</v>
      </c>
      <c r="C209" s="21" t="s">
        <v>55</v>
      </c>
      <c r="D209">
        <v>14</v>
      </c>
      <c r="E209" s="3">
        <v>1420.38</v>
      </c>
      <c r="F209">
        <v>7</v>
      </c>
    </row>
    <row r="210" spans="1:6">
      <c r="A210" s="8">
        <v>46174</v>
      </c>
      <c r="B210" s="21" t="s">
        <v>32</v>
      </c>
      <c r="C210" s="21" t="s">
        <v>55</v>
      </c>
      <c r="D210">
        <v>20</v>
      </c>
      <c r="E210" s="3">
        <v>1953.22</v>
      </c>
      <c r="F210">
        <v>10</v>
      </c>
    </row>
    <row r="211" spans="1:6">
      <c r="A211" s="8">
        <v>46174</v>
      </c>
      <c r="B211" s="21" t="s">
        <v>33</v>
      </c>
      <c r="C211" s="21" t="s">
        <v>55</v>
      </c>
      <c r="D211">
        <v>24</v>
      </c>
      <c r="E211" s="3">
        <v>2225.9</v>
      </c>
      <c r="F211">
        <v>7</v>
      </c>
    </row>
    <row r="212" spans="1:6">
      <c r="A212" s="8">
        <v>46174</v>
      </c>
      <c r="B212" s="21" t="s">
        <v>34</v>
      </c>
      <c r="C212" s="21" t="s">
        <v>55</v>
      </c>
      <c r="D212">
        <v>25</v>
      </c>
      <c r="E212" s="3">
        <v>2592.7800000000002</v>
      </c>
      <c r="F212">
        <v>8</v>
      </c>
    </row>
    <row r="213" spans="1:6">
      <c r="A213" s="8">
        <v>46174</v>
      </c>
      <c r="B213" s="21" t="s">
        <v>35</v>
      </c>
      <c r="C213" s="21" t="s">
        <v>55</v>
      </c>
      <c r="D213">
        <v>21</v>
      </c>
      <c r="E213" s="3">
        <v>1958.48</v>
      </c>
      <c r="F213">
        <v>7</v>
      </c>
    </row>
    <row r="214" spans="1:6">
      <c r="A214" s="8">
        <v>46174</v>
      </c>
      <c r="B214" s="21" t="s">
        <v>36</v>
      </c>
      <c r="C214" s="21" t="s">
        <v>55</v>
      </c>
      <c r="D214">
        <v>13</v>
      </c>
      <c r="E214" s="3">
        <v>1306.48</v>
      </c>
      <c r="F214">
        <v>5</v>
      </c>
    </row>
    <row r="215" spans="1:6">
      <c r="A215" s="8">
        <v>46174</v>
      </c>
      <c r="B215" s="21" t="s">
        <v>37</v>
      </c>
      <c r="C215" s="21" t="s">
        <v>55</v>
      </c>
      <c r="D215">
        <v>21</v>
      </c>
      <c r="E215" s="3">
        <v>2687.7</v>
      </c>
      <c r="F215">
        <v>9</v>
      </c>
    </row>
    <row r="216" spans="1:6">
      <c r="A216" s="8">
        <v>46204</v>
      </c>
      <c r="B216" s="21" t="s">
        <v>24</v>
      </c>
      <c r="C216" s="21" t="s">
        <v>55</v>
      </c>
      <c r="D216">
        <v>13</v>
      </c>
      <c r="E216" s="3">
        <v>1694.74</v>
      </c>
      <c r="F216">
        <v>7</v>
      </c>
    </row>
    <row r="217" spans="1:6">
      <c r="A217" s="8">
        <v>46204</v>
      </c>
      <c r="B217" s="21" t="s">
        <v>26</v>
      </c>
      <c r="C217" s="21" t="s">
        <v>55</v>
      </c>
      <c r="D217">
        <v>26</v>
      </c>
      <c r="E217" s="3">
        <v>2523.7399999999998</v>
      </c>
      <c r="F217">
        <v>9</v>
      </c>
    </row>
    <row r="218" spans="1:6">
      <c r="A218" s="8">
        <v>46204</v>
      </c>
      <c r="B218" s="21" t="s">
        <v>27</v>
      </c>
      <c r="C218" s="21" t="s">
        <v>55</v>
      </c>
      <c r="D218">
        <v>13</v>
      </c>
      <c r="E218" s="3">
        <v>1221.19</v>
      </c>
      <c r="F218">
        <v>4</v>
      </c>
    </row>
    <row r="219" spans="1:6">
      <c r="A219" s="8">
        <v>46204</v>
      </c>
      <c r="B219" s="21" t="s">
        <v>28</v>
      </c>
      <c r="C219" s="21" t="s">
        <v>55</v>
      </c>
      <c r="D219">
        <v>11</v>
      </c>
      <c r="E219" s="3">
        <v>1523.39</v>
      </c>
      <c r="F219">
        <v>8</v>
      </c>
    </row>
    <row r="220" spans="1:6">
      <c r="A220" s="8">
        <v>46204</v>
      </c>
      <c r="B220" s="21" t="s">
        <v>29</v>
      </c>
      <c r="C220" s="21" t="s">
        <v>55</v>
      </c>
      <c r="D220">
        <v>9</v>
      </c>
      <c r="E220" s="3">
        <v>1746.14</v>
      </c>
      <c r="F220">
        <v>5</v>
      </c>
    </row>
    <row r="221" spans="1:6">
      <c r="A221" s="8">
        <v>46204</v>
      </c>
      <c r="B221" s="21" t="s">
        <v>30</v>
      </c>
      <c r="C221" s="21" t="s">
        <v>55</v>
      </c>
      <c r="D221">
        <v>14</v>
      </c>
      <c r="E221" s="3">
        <v>1568.48</v>
      </c>
      <c r="F221">
        <v>6</v>
      </c>
    </row>
    <row r="222" spans="1:6">
      <c r="A222" s="8">
        <v>46204</v>
      </c>
      <c r="B222" s="21" t="s">
        <v>31</v>
      </c>
      <c r="C222" s="21" t="s">
        <v>55</v>
      </c>
      <c r="D222">
        <v>18</v>
      </c>
      <c r="E222" s="3">
        <v>2226.12</v>
      </c>
      <c r="F222">
        <v>7</v>
      </c>
    </row>
    <row r="223" spans="1:6">
      <c r="A223" s="8">
        <v>46204</v>
      </c>
      <c r="B223" s="21" t="s">
        <v>32</v>
      </c>
      <c r="C223" s="21" t="s">
        <v>55</v>
      </c>
      <c r="D223">
        <v>24</v>
      </c>
      <c r="E223" s="3">
        <v>2150.92</v>
      </c>
      <c r="F223">
        <v>9</v>
      </c>
    </row>
    <row r="224" spans="1:6">
      <c r="A224" s="8">
        <v>46204</v>
      </c>
      <c r="B224" s="21" t="s">
        <v>33</v>
      </c>
      <c r="C224" s="21" t="s">
        <v>55</v>
      </c>
      <c r="D224">
        <v>20</v>
      </c>
      <c r="E224" s="3">
        <v>1715.39</v>
      </c>
      <c r="F224">
        <v>8</v>
      </c>
    </row>
    <row r="225" spans="1:6">
      <c r="A225" s="8">
        <v>46204</v>
      </c>
      <c r="B225" s="21" t="s">
        <v>34</v>
      </c>
      <c r="C225" s="21" t="s">
        <v>55</v>
      </c>
      <c r="D225">
        <v>11</v>
      </c>
      <c r="E225" s="3">
        <v>1245.94</v>
      </c>
      <c r="F225">
        <v>3</v>
      </c>
    </row>
    <row r="226" spans="1:6">
      <c r="A226" s="8">
        <v>46204</v>
      </c>
      <c r="B226" s="21" t="s">
        <v>35</v>
      </c>
      <c r="C226" s="21" t="s">
        <v>55</v>
      </c>
      <c r="D226">
        <v>15</v>
      </c>
      <c r="E226" s="3">
        <v>1386.1</v>
      </c>
      <c r="F226">
        <v>3</v>
      </c>
    </row>
    <row r="227" spans="1:6">
      <c r="A227" s="8">
        <v>46204</v>
      </c>
      <c r="B227" s="21" t="s">
        <v>36</v>
      </c>
      <c r="C227" s="21" t="s">
        <v>55</v>
      </c>
      <c r="D227">
        <v>22</v>
      </c>
      <c r="E227" s="3">
        <v>2161.41</v>
      </c>
      <c r="F227">
        <v>7</v>
      </c>
    </row>
    <row r="228" spans="1:6">
      <c r="A228" s="8">
        <v>46204</v>
      </c>
      <c r="B228" s="21" t="s">
        <v>37</v>
      </c>
      <c r="C228" s="21" t="s">
        <v>55</v>
      </c>
      <c r="D228">
        <v>8</v>
      </c>
      <c r="E228" s="3">
        <v>968.13</v>
      </c>
      <c r="F228">
        <v>4</v>
      </c>
    </row>
    <row r="229" spans="1:6">
      <c r="A229" s="8">
        <v>46235</v>
      </c>
      <c r="B229" s="21" t="s">
        <v>24</v>
      </c>
      <c r="C229" s="21" t="s">
        <v>55</v>
      </c>
      <c r="D229">
        <v>16</v>
      </c>
      <c r="E229" s="3">
        <v>2593.0100000000002</v>
      </c>
      <c r="F229">
        <v>7</v>
      </c>
    </row>
    <row r="230" spans="1:6">
      <c r="A230" s="8">
        <v>46235</v>
      </c>
      <c r="B230" s="21" t="s">
        <v>26</v>
      </c>
      <c r="C230" s="21" t="s">
        <v>55</v>
      </c>
      <c r="D230">
        <v>13</v>
      </c>
      <c r="E230" s="3">
        <v>1928.8</v>
      </c>
      <c r="F230">
        <v>4</v>
      </c>
    </row>
    <row r="231" spans="1:6">
      <c r="A231" s="8">
        <v>46235</v>
      </c>
      <c r="B231" s="21" t="s">
        <v>27</v>
      </c>
      <c r="C231" s="21" t="s">
        <v>55</v>
      </c>
      <c r="D231">
        <v>9</v>
      </c>
      <c r="E231" s="3">
        <v>1149.3599999999999</v>
      </c>
      <c r="F231">
        <v>4</v>
      </c>
    </row>
    <row r="232" spans="1:6">
      <c r="A232" s="8">
        <v>46235</v>
      </c>
      <c r="B232" s="21" t="s">
        <v>28</v>
      </c>
      <c r="C232" s="21" t="s">
        <v>55</v>
      </c>
      <c r="D232">
        <v>18</v>
      </c>
      <c r="E232" s="3">
        <v>2804.74</v>
      </c>
      <c r="F232">
        <v>7</v>
      </c>
    </row>
    <row r="233" spans="1:6">
      <c r="A233" s="8">
        <v>46235</v>
      </c>
      <c r="B233" s="21" t="s">
        <v>29</v>
      </c>
      <c r="C233" s="21" t="s">
        <v>55</v>
      </c>
      <c r="D233">
        <v>21</v>
      </c>
      <c r="E233" s="3">
        <v>4440.74</v>
      </c>
      <c r="F233">
        <v>5</v>
      </c>
    </row>
    <row r="234" spans="1:6">
      <c r="A234" s="8">
        <v>46235</v>
      </c>
      <c r="B234" s="21" t="s">
        <v>30</v>
      </c>
      <c r="C234" s="21" t="s">
        <v>55</v>
      </c>
      <c r="D234">
        <v>17</v>
      </c>
      <c r="E234" s="3">
        <v>2221.52</v>
      </c>
      <c r="F234">
        <v>6</v>
      </c>
    </row>
    <row r="235" spans="1:6">
      <c r="A235" s="8">
        <v>46235</v>
      </c>
      <c r="B235" s="21" t="s">
        <v>31</v>
      </c>
      <c r="C235" s="21" t="s">
        <v>55</v>
      </c>
      <c r="D235">
        <v>8</v>
      </c>
      <c r="E235" s="3">
        <v>957.24</v>
      </c>
      <c r="F235">
        <v>3</v>
      </c>
    </row>
    <row r="236" spans="1:6">
      <c r="A236" s="8">
        <v>46235</v>
      </c>
      <c r="B236" s="21" t="s">
        <v>32</v>
      </c>
      <c r="C236" s="21" t="s">
        <v>55</v>
      </c>
      <c r="D236">
        <v>23</v>
      </c>
      <c r="E236" s="3">
        <v>3147.45</v>
      </c>
      <c r="F236">
        <v>7</v>
      </c>
    </row>
    <row r="237" spans="1:6">
      <c r="A237" s="8">
        <v>46235</v>
      </c>
      <c r="B237" s="21" t="s">
        <v>33</v>
      </c>
      <c r="C237" s="21" t="s">
        <v>55</v>
      </c>
      <c r="D237">
        <v>21</v>
      </c>
      <c r="E237" s="3">
        <v>2913.98</v>
      </c>
      <c r="F237">
        <v>6</v>
      </c>
    </row>
    <row r="238" spans="1:6">
      <c r="A238" s="8">
        <v>46235</v>
      </c>
      <c r="B238" s="21" t="s">
        <v>34</v>
      </c>
      <c r="C238" s="21" t="s">
        <v>55</v>
      </c>
      <c r="D238">
        <v>9</v>
      </c>
      <c r="E238" s="3">
        <v>1044.3800000000001</v>
      </c>
      <c r="F238">
        <v>3</v>
      </c>
    </row>
    <row r="239" spans="1:6">
      <c r="A239" s="8">
        <v>46235</v>
      </c>
      <c r="B239" s="21" t="s">
        <v>35</v>
      </c>
      <c r="C239" s="21" t="s">
        <v>55</v>
      </c>
      <c r="D239">
        <v>27</v>
      </c>
      <c r="E239" s="3">
        <v>3254.28</v>
      </c>
      <c r="F239">
        <v>7</v>
      </c>
    </row>
    <row r="240" spans="1:6">
      <c r="A240" s="8">
        <v>46235</v>
      </c>
      <c r="B240" s="21" t="s">
        <v>36</v>
      </c>
      <c r="C240" s="21" t="s">
        <v>55</v>
      </c>
      <c r="D240">
        <v>20</v>
      </c>
      <c r="E240" s="3">
        <v>2580.39</v>
      </c>
      <c r="F240">
        <v>10</v>
      </c>
    </row>
    <row r="241" spans="1:6">
      <c r="A241" s="8">
        <v>46235</v>
      </c>
      <c r="B241" s="21" t="s">
        <v>37</v>
      </c>
      <c r="C241" s="21" t="s">
        <v>55</v>
      </c>
      <c r="D241">
        <v>13</v>
      </c>
      <c r="E241" s="3">
        <v>2115.04</v>
      </c>
      <c r="F241">
        <v>6</v>
      </c>
    </row>
    <row r="242" spans="1:6">
      <c r="A242" s="8">
        <v>46266</v>
      </c>
      <c r="B242" s="21" t="s">
        <v>24</v>
      </c>
      <c r="C242" s="21" t="s">
        <v>55</v>
      </c>
      <c r="D242">
        <v>13</v>
      </c>
      <c r="E242" s="3">
        <v>1916.38</v>
      </c>
      <c r="F242">
        <v>6</v>
      </c>
    </row>
    <row r="243" spans="1:6">
      <c r="A243" s="8">
        <v>46266</v>
      </c>
      <c r="B243" s="21" t="s">
        <v>26</v>
      </c>
      <c r="C243" s="21" t="s">
        <v>55</v>
      </c>
      <c r="D243">
        <v>16</v>
      </c>
      <c r="E243" s="3">
        <v>1485.22</v>
      </c>
      <c r="F243">
        <v>3</v>
      </c>
    </row>
    <row r="244" spans="1:6">
      <c r="A244" s="8">
        <v>46266</v>
      </c>
      <c r="B244" s="21" t="s">
        <v>27</v>
      </c>
      <c r="C244" s="21" t="s">
        <v>55</v>
      </c>
      <c r="D244">
        <v>21</v>
      </c>
      <c r="E244" s="3">
        <v>1954.27</v>
      </c>
      <c r="F244">
        <v>8</v>
      </c>
    </row>
    <row r="245" spans="1:6">
      <c r="A245" s="8">
        <v>46266</v>
      </c>
      <c r="B245" s="21" t="s">
        <v>28</v>
      </c>
      <c r="C245" s="21" t="s">
        <v>55</v>
      </c>
      <c r="D245">
        <v>20</v>
      </c>
      <c r="E245" s="3">
        <v>2584.3000000000002</v>
      </c>
      <c r="F245">
        <v>4</v>
      </c>
    </row>
    <row r="246" spans="1:6">
      <c r="A246" s="8">
        <v>46266</v>
      </c>
      <c r="B246" s="21" t="s">
        <v>29</v>
      </c>
      <c r="C246" s="21" t="s">
        <v>55</v>
      </c>
      <c r="D246">
        <v>14</v>
      </c>
      <c r="E246" s="3">
        <v>1829.54</v>
      </c>
      <c r="F246">
        <v>6</v>
      </c>
    </row>
    <row r="247" spans="1:6">
      <c r="A247" s="8">
        <v>46266</v>
      </c>
      <c r="B247" s="21" t="s">
        <v>30</v>
      </c>
      <c r="C247" s="21" t="s">
        <v>55</v>
      </c>
      <c r="D247">
        <v>15</v>
      </c>
      <c r="E247" s="3">
        <v>1490.74</v>
      </c>
      <c r="F247">
        <v>7</v>
      </c>
    </row>
    <row r="248" spans="1:6">
      <c r="A248" s="8">
        <v>46266</v>
      </c>
      <c r="B248" s="21" t="s">
        <v>31</v>
      </c>
      <c r="C248" s="21" t="s">
        <v>55</v>
      </c>
      <c r="D248">
        <v>15</v>
      </c>
      <c r="E248" s="3">
        <v>1512.16</v>
      </c>
      <c r="F248">
        <v>5</v>
      </c>
    </row>
    <row r="249" spans="1:6">
      <c r="A249" s="8">
        <v>46266</v>
      </c>
      <c r="B249" s="21" t="s">
        <v>32</v>
      </c>
      <c r="C249" s="21" t="s">
        <v>55</v>
      </c>
      <c r="D249">
        <v>14</v>
      </c>
      <c r="E249" s="3">
        <v>1271.19</v>
      </c>
      <c r="F249">
        <v>7</v>
      </c>
    </row>
    <row r="250" spans="1:6">
      <c r="A250" s="8">
        <v>46266</v>
      </c>
      <c r="B250" s="21" t="s">
        <v>33</v>
      </c>
      <c r="C250" s="21" t="s">
        <v>55</v>
      </c>
      <c r="D250">
        <v>24</v>
      </c>
      <c r="E250" s="3">
        <v>2065.1999999999998</v>
      </c>
      <c r="F250">
        <v>9</v>
      </c>
    </row>
    <row r="251" spans="1:6">
      <c r="A251" s="8">
        <v>46266</v>
      </c>
      <c r="B251" s="21" t="s">
        <v>34</v>
      </c>
      <c r="C251" s="21" t="s">
        <v>55</v>
      </c>
      <c r="D251">
        <v>18</v>
      </c>
      <c r="E251" s="3">
        <v>1800.87</v>
      </c>
      <c r="F251">
        <v>7</v>
      </c>
    </row>
    <row r="252" spans="1:6">
      <c r="A252" s="8">
        <v>46266</v>
      </c>
      <c r="B252" s="21" t="s">
        <v>35</v>
      </c>
      <c r="C252" s="21" t="s">
        <v>55</v>
      </c>
      <c r="D252">
        <v>21</v>
      </c>
      <c r="E252" s="3">
        <v>1834.45</v>
      </c>
      <c r="F252">
        <v>7</v>
      </c>
    </row>
    <row r="253" spans="1:6">
      <c r="A253" s="8">
        <v>46266</v>
      </c>
      <c r="B253" s="21" t="s">
        <v>36</v>
      </c>
      <c r="C253" s="21" t="s">
        <v>55</v>
      </c>
      <c r="D253">
        <v>24</v>
      </c>
      <c r="E253" s="3">
        <v>2174.06</v>
      </c>
      <c r="F253">
        <v>8</v>
      </c>
    </row>
    <row r="254" spans="1:6">
      <c r="A254" s="8">
        <v>46266</v>
      </c>
      <c r="B254" s="21" t="s">
        <v>37</v>
      </c>
      <c r="C254" s="21" t="s">
        <v>55</v>
      </c>
      <c r="D254">
        <v>15</v>
      </c>
      <c r="E254" s="3">
        <v>1698.46</v>
      </c>
      <c r="F254">
        <v>6</v>
      </c>
    </row>
    <row r="255" spans="1:6">
      <c r="A255" s="8">
        <v>46296</v>
      </c>
      <c r="B255" s="21" t="s">
        <v>24</v>
      </c>
      <c r="C255" s="21" t="s">
        <v>55</v>
      </c>
      <c r="D255">
        <v>22</v>
      </c>
      <c r="E255" s="3">
        <v>2472.62</v>
      </c>
      <c r="F255">
        <v>9</v>
      </c>
    </row>
    <row r="256" spans="1:6">
      <c r="A256" s="8">
        <v>46296</v>
      </c>
      <c r="B256" s="21" t="s">
        <v>26</v>
      </c>
      <c r="C256" s="21" t="s">
        <v>55</v>
      </c>
      <c r="D256">
        <v>25</v>
      </c>
      <c r="E256" s="3">
        <v>2047.05</v>
      </c>
      <c r="F256">
        <v>8</v>
      </c>
    </row>
    <row r="257" spans="1:6">
      <c r="A257" s="8">
        <v>46296</v>
      </c>
      <c r="B257" s="21" t="s">
        <v>27</v>
      </c>
      <c r="C257" s="21" t="s">
        <v>55</v>
      </c>
      <c r="D257">
        <v>13</v>
      </c>
      <c r="E257" s="3">
        <v>1132.06</v>
      </c>
      <c r="F257">
        <v>6</v>
      </c>
    </row>
    <row r="258" spans="1:6">
      <c r="A258" s="8">
        <v>46296</v>
      </c>
      <c r="B258" s="21" t="s">
        <v>28</v>
      </c>
      <c r="C258" s="21" t="s">
        <v>55</v>
      </c>
      <c r="D258">
        <v>18</v>
      </c>
      <c r="E258" s="3">
        <v>2022.78</v>
      </c>
      <c r="F258">
        <v>9</v>
      </c>
    </row>
    <row r="259" spans="1:6">
      <c r="A259" s="8">
        <v>46296</v>
      </c>
      <c r="B259" s="21" t="s">
        <v>29</v>
      </c>
      <c r="C259" s="21" t="s">
        <v>55</v>
      </c>
      <c r="D259">
        <v>10</v>
      </c>
      <c r="E259" s="3">
        <v>1215.9100000000001</v>
      </c>
      <c r="F259">
        <v>5</v>
      </c>
    </row>
    <row r="260" spans="1:6">
      <c r="A260" s="8">
        <v>46296</v>
      </c>
      <c r="B260" s="21" t="s">
        <v>30</v>
      </c>
      <c r="C260" s="21" t="s">
        <v>55</v>
      </c>
      <c r="D260">
        <v>17</v>
      </c>
      <c r="E260" s="3">
        <v>1656.48</v>
      </c>
      <c r="F260">
        <v>7</v>
      </c>
    </row>
    <row r="261" spans="1:6">
      <c r="A261" s="8">
        <v>46296</v>
      </c>
      <c r="B261" s="21" t="s">
        <v>31</v>
      </c>
      <c r="C261" s="21" t="s">
        <v>55</v>
      </c>
      <c r="D261">
        <v>15</v>
      </c>
      <c r="E261" s="3">
        <v>1384.28</v>
      </c>
      <c r="F261">
        <v>6</v>
      </c>
    </row>
    <row r="262" spans="1:6">
      <c r="A262" s="8">
        <v>46296</v>
      </c>
      <c r="B262" s="21" t="s">
        <v>32</v>
      </c>
      <c r="C262" s="21" t="s">
        <v>55</v>
      </c>
      <c r="D262">
        <v>17</v>
      </c>
      <c r="E262" s="3">
        <v>1474.54</v>
      </c>
      <c r="F262">
        <v>9</v>
      </c>
    </row>
    <row r="263" spans="1:6">
      <c r="A263" s="8">
        <v>46296</v>
      </c>
      <c r="B263" s="21" t="s">
        <v>33</v>
      </c>
      <c r="C263" s="21" t="s">
        <v>55</v>
      </c>
      <c r="D263">
        <v>25</v>
      </c>
      <c r="E263" s="3">
        <v>1990.66</v>
      </c>
      <c r="F263">
        <v>8</v>
      </c>
    </row>
    <row r="264" spans="1:6">
      <c r="A264" s="8">
        <v>46296</v>
      </c>
      <c r="B264" s="21" t="s">
        <v>34</v>
      </c>
      <c r="C264" s="21" t="s">
        <v>55</v>
      </c>
      <c r="D264">
        <v>25</v>
      </c>
      <c r="E264" s="3">
        <v>2236.17</v>
      </c>
      <c r="F264">
        <v>9</v>
      </c>
    </row>
    <row r="265" spans="1:6">
      <c r="A265" s="8">
        <v>46296</v>
      </c>
      <c r="B265" s="21" t="s">
        <v>35</v>
      </c>
      <c r="C265" s="21" t="s">
        <v>55</v>
      </c>
      <c r="D265">
        <v>18</v>
      </c>
      <c r="E265" s="3">
        <v>1678.86</v>
      </c>
      <c r="F265">
        <v>9</v>
      </c>
    </row>
    <row r="266" spans="1:6">
      <c r="A266" s="8">
        <v>46296</v>
      </c>
      <c r="B266" s="21" t="s">
        <v>36</v>
      </c>
      <c r="C266" s="21" t="s">
        <v>55</v>
      </c>
      <c r="D266">
        <v>17</v>
      </c>
      <c r="E266" s="3">
        <v>1477.85</v>
      </c>
      <c r="F266">
        <v>8</v>
      </c>
    </row>
    <row r="267" spans="1:6">
      <c r="A267" s="8">
        <v>46296</v>
      </c>
      <c r="B267" s="21" t="s">
        <v>37</v>
      </c>
      <c r="C267" s="21" t="s">
        <v>55</v>
      </c>
      <c r="D267">
        <v>12</v>
      </c>
      <c r="E267" s="3">
        <v>1355.93</v>
      </c>
      <c r="F267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9AC5F-ABB1-46BC-8E63-33C08BB32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Dashboard</vt:lpstr>
      <vt:lpstr>Por_Marca</vt:lpstr>
      <vt:lpstr>Por_Apartamento</vt:lpstr>
      <vt:lpstr>Dados_Mensais</vt:lpstr>
      <vt:lpstr>Dados_Ocupacao</vt:lpstr>
      <vt:lpstr>Dados_Reservas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Azevedo</cp:lastModifiedBy>
  <dcterms:modified xsi:type="dcterms:W3CDTF">2026-10-21T13:38:48Z</dcterms:modified>
</cp:coreProperties>
</file>